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B829A64-646E-4FD0-8885-CEDDD3BF79C1}" xr6:coauthVersionLast="47" xr6:coauthVersionMax="47" xr10:uidLastSave="{00000000-0000-0000-0000-000000000000}"/>
  <bookViews>
    <workbookView xWindow="-108" yWindow="-108" windowWidth="23256" windowHeight="12456" activeTab="2" xr2:uid="{32C5D2A9-1228-445E-A0B8-CE4FBD5796AA}"/>
  </bookViews>
  <sheets>
    <sheet name="Summary" sheetId="1" r:id="rId1"/>
    <sheet name="ใบไม้" sheetId="3" r:id="rId2"/>
    <sheet name="2_SKIB" sheetId="4" r:id="rId3"/>
    <sheet name="5_MKT" sheetId="5" r:id="rId4"/>
    <sheet name="6_MKT" sheetId="6" r:id="rId5"/>
    <sheet name="ปริ้น" sheetId="2" r:id="rId6"/>
    <sheet name="3_DEBT" sheetId="7" r:id="rId7"/>
    <sheet name="4_LEGAL" sheetId="8" r:id="rId8"/>
    <sheet name="9_C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3" l="1"/>
  <c r="F7" i="2"/>
  <c r="J17" i="8"/>
  <c r="K17" i="9"/>
  <c r="J17" i="9"/>
  <c r="K17" i="8"/>
  <c r="K17" i="7"/>
  <c r="J17" i="7"/>
  <c r="K17" i="6"/>
  <c r="J17" i="6"/>
  <c r="K17" i="5"/>
  <c r="J17" i="5"/>
  <c r="K44" i="4"/>
  <c r="J44" i="4"/>
</calcChain>
</file>

<file path=xl/sharedStrings.xml><?xml version="1.0" encoding="utf-8"?>
<sst xmlns="http://schemas.openxmlformats.org/spreadsheetml/2006/main" count="199" uniqueCount="95">
  <si>
    <t>ปริ้น, โอม</t>
  </si>
  <si>
    <t>C/S, Debt. &amp; Legal (ASK &amp; BGPL)</t>
  </si>
  <si>
    <t>แก้ไข Suing &amp; Judgement
          -  วันที่ฟ้อง
          -  เลขคดี
          -  ยอดเงินฟ้อง</t>
  </si>
  <si>
    <t>Legal (ASK &amp; BGPL)</t>
  </si>
  <si>
    <t>Debt. (ASK)</t>
  </si>
  <si>
    <t>ใบไม้, โอม</t>
  </si>
  <si>
    <t>Marketing (ASK &amp; BGPL)</t>
  </si>
  <si>
    <t>Marketing (ASK)</t>
  </si>
  <si>
    <t>SKIB</t>
  </si>
  <si>
    <t>Status</t>
  </si>
  <si>
    <t>Lead</t>
  </si>
  <si>
    <t>Responsibility</t>
  </si>
  <si>
    <t>Description</t>
  </si>
  <si>
    <t>Department</t>
  </si>
  <si>
    <t>No.</t>
  </si>
  <si>
    <t>\\ISA-APP</t>
  </si>
  <si>
    <t>Java</t>
  </si>
  <si>
    <t>Angular 16</t>
  </si>
  <si>
    <t>2. SKIB ประกันภัย</t>
  </si>
  <si>
    <t>Task</t>
  </si>
  <si>
    <t>Manday</t>
  </si>
  <si>
    <t>Start</t>
  </si>
  <si>
    <t>End</t>
  </si>
  <si>
    <t>Remark</t>
  </si>
  <si>
    <t>Get Requirement กับพี่เมย์</t>
  </si>
  <si>
    <t>Confirm Mockup กับพี่เมย์</t>
  </si>
  <si>
    <t>Develop</t>
  </si>
  <si>
    <t>SIT</t>
  </si>
  <si>
    <t>UAT</t>
  </si>
  <si>
    <t>Go-live</t>
  </si>
  <si>
    <t>5. Marketing (ASK)</t>
  </si>
  <si>
    <t>6. Marketing (ASK &amp; BGPL)</t>
  </si>
  <si>
    <t>3. Debt. (ASK)</t>
  </si>
  <si>
    <t>9. C/S, Debt. &amp; Legal (ASK &amp; BGPL)</t>
  </si>
  <si>
    <t>4. Legal (ASK &amp; BGPL)</t>
  </si>
  <si>
    <t>WBS : Work Breakdown Structure</t>
  </si>
  <si>
    <t>Project</t>
  </si>
  <si>
    <t>Version</t>
  </si>
  <si>
    <t>Task Description</t>
  </si>
  <si>
    <t>Start Date</t>
  </si>
  <si>
    <t>End Date</t>
  </si>
  <si>
    <t>Due Day</t>
  </si>
  <si>
    <t>% Task</t>
  </si>
  <si>
    <t>FRONT END</t>
  </si>
  <si>
    <t>SERVICE</t>
  </si>
  <si>
    <t>PACKAGE</t>
  </si>
  <si>
    <t>REPORT</t>
  </si>
  <si>
    <t>Prepare Confing</t>
  </si>
  <si>
    <t>Study</t>
  </si>
  <si>
    <t>Summary Plan : ใบไม้</t>
  </si>
  <si>
    <t>Summary Plan : ปริ้น</t>
  </si>
  <si>
    <t>แก้ไขรายละเอียดการขายรถยึด
          -  ไม่ได้ระบุชื่อ Marketing แนะนำ
          -  เพิ่มรายการเงินดาวน์         
          -  ยกเลิกการขาย</t>
  </si>
  <si>
    <r>
      <t xml:space="preserve">Add &amp; Change Marketing Code &amp; Team 
</t>
    </r>
    <r>
      <rPr>
        <sz val="11"/>
        <color rgb="FFFF0000"/>
        <rFont val="Aptos Narrow"/>
        <family val="2"/>
        <scheme val="minor"/>
      </rPr>
      <t>*มีDelphiอยู่แล้วเอาขึ้น web</t>
    </r>
  </si>
  <si>
    <r>
      <t xml:space="preserve">แก้ไขข้อมูลประกันภัย
          -  ช่องทางการชำระเงิน (Credit Card)
          -  เปลี่ยนผู้ทำประกันชีวิต  (insurance transaction)
          -  ชนิด &amp; ประเภทประกัน
          -  วันที่หมดอายุ , เงินคุ้มครอง  
          -  ตั้ง commission ประกันภัย  
</t>
    </r>
    <r>
      <rPr>
        <sz val="11"/>
        <color rgb="FFFF0000"/>
        <rFont val="Aptos Narrow"/>
        <family val="2"/>
        <scheme val="minor"/>
      </rPr>
      <t xml:space="preserve">             *มีDelphiอยู่แล้วเอาขึ้น web</t>
    </r>
    <r>
      <rPr>
        <sz val="11"/>
        <color theme="1"/>
        <rFont val="Aptos Narrow"/>
        <family val="2"/>
        <charset val="222"/>
        <scheme val="minor"/>
      </rPr>
      <t xml:space="preserve">
          </t>
    </r>
    <r>
      <rPr>
        <sz val="11"/>
        <color rgb="FFFF0000"/>
        <rFont val="Aptos Narrow"/>
        <family val="2"/>
        <scheme val="minor"/>
      </rPr>
      <t>-  ติด Ch5 ค่าประกันคืนลูกค้า (Fixed) ไม่ต้องทำ</t>
    </r>
  </si>
  <si>
    <r>
      <t xml:space="preserve">Cancel RT </t>
    </r>
    <r>
      <rPr>
        <sz val="11"/>
        <color rgb="FFFF0000"/>
        <rFont val="Aptos Narrow"/>
        <family val="2"/>
        <scheme val="minor"/>
      </rPr>
      <t>(ASK ส่วนใหญ่) *มีDelphiอยู่แล้วเอาขึ้น web</t>
    </r>
    <r>
      <rPr>
        <sz val="11"/>
        <color theme="1"/>
        <rFont val="Aptos Narrow"/>
        <family val="2"/>
        <charset val="222"/>
        <scheme val="minor"/>
      </rPr>
      <t xml:space="preserve">
          -  ลูกค้าเปลี่ยนใจ (ปิดสัญญาใหม่ไปใช้สัญญาเก่า)
</t>
    </r>
    <r>
      <rPr>
        <sz val="11"/>
        <color rgb="FFFF0000"/>
        <rFont val="Aptos Narrow"/>
        <family val="2"/>
        <scheme val="minor"/>
      </rPr>
      <t>Edit RT (BGPL เฉพาะ loan) *พี่น้องบอกให้พี่หนุ่ยทำ
          -  แก้เงื่อนไข Start RT 
             (BGPL Start RT ผู้ค้ำมาบ้างไม่มาบ้าง, 
              Gross IRR 2 ตำแหน่ง,
              มีการเข้า Table BG_Drawdown_Receive)</t>
    </r>
    <r>
      <rPr>
        <sz val="11"/>
        <color theme="1"/>
        <rFont val="Aptos Narrow"/>
        <family val="2"/>
        <charset val="22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Edit RD -  ขอพิมพ์สัญญาย้อนหลัง(พี่ป๋องมี) (ASK ส่วนใหญ่)
             *พี่น้องบอกให้พี่ป๋องทำ</t>
    </r>
  </si>
  <si>
    <r>
      <t xml:space="preserve">OA Debt.Code &amp; Legal Code
</t>
    </r>
    <r>
      <rPr>
        <sz val="11"/>
        <color rgb="FFFF0000"/>
        <rFont val="Aptos Narrow"/>
        <family val="2"/>
        <scheme val="minor"/>
      </rPr>
      <t>LG to do.</t>
    </r>
    <r>
      <rPr>
        <sz val="11"/>
        <color theme="1"/>
        <rFont val="Aptos Narrow"/>
        <family val="2"/>
        <charset val="22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*ไม่ต้องทำ</t>
    </r>
  </si>
  <si>
    <t>พี่ปู, พี่หนุ่ย</t>
  </si>
  <si>
    <t>พี่เอม</t>
  </si>
  <si>
    <t>พี่ก๊อต</t>
  </si>
  <si>
    <t>พี่ไกด์</t>
  </si>
  <si>
    <t>ออกแบบหน้า UX/UI ของระบบและ confirm กับผู้ใช้</t>
  </si>
  <si>
    <t>เริ่มเขียน code หน้าบ้านตามที่ออกแบบ</t>
  </si>
  <si>
    <t>เขียน service ที่ต้องใช้ดึงข้อมูล, และบันทึก</t>
  </si>
  <si>
    <t>เขียน package ที่ต้องใช้บันทึกข้อมูลการแก้ไข้</t>
  </si>
  <si>
    <t>มีปัญหาเกี่ยวกับการเขียน html, scss โดยไม่ตรงกับที่ออกแบบ เลยต้องแก้ไข้ให้ใกล้เคียงที่สุด</t>
  </si>
  <si>
    <t>มีปัญหาเกี่ยวกับการเขียน package, service ต้องทำความเข้าใจระบบในการ query</t>
  </si>
  <si>
    <t>ยังไม่ได้เริ่มทำ</t>
  </si>
  <si>
    <t>เนื่องจากอยู่ในการทำ module แรกเลยยังไม่ได้เริ่มทำ</t>
  </si>
  <si>
    <t>ออกแบบหน้า หน้าแสดง list รายการประกัน</t>
  </si>
  <si>
    <t>เพิ่ม filter, การค้นหา, form การแก้ไข้ ประกัน</t>
  </si>
  <si>
    <t>นำเสนอหน้า mockup ให้กับ user, พี่เลี้ยง และ ที่ปรึกษาโปรเจค</t>
  </si>
  <si>
    <t xml:space="preserve">นำเสนอหน้า mockup ให้กับ user, พี่เลี้ยง และ ที่ปรึกษาโปรเจค </t>
  </si>
  <si>
    <t>เพิ่มการแสดงหน้าแสดงข้อมูลที่ขาดในส่วนของรถยนต์</t>
  </si>
  <si>
    <t>เริ่มการเขียน code ฝั่งหน้าบ้าน เพิ่มหน้าหน้าแสดงรายการประกัน</t>
  </si>
  <si>
    <t>เพิ่ม filter, การค้นหา</t>
  </si>
  <si>
    <t>getListInsurance(
      pRecordSet out sys_refcursor,
      pPageNo in number default 1,           -- หน้าที่ต้องการ (เริ่มที่ 1)
      pPageSize in number default 50,        -- จำนวนแถวต่อหน้า (50 แถว)
      pAgrCode in varchar2 default null,     -- เลขที่สัญญา
      pRefCode in varchar2 default null,     -- เลขที่อ้างอิง
      pFromDate in date default null,        -- วันที่เริ่มต้น
      pToDate in date default null,          -- วันที่สิ้นสุด
      pComCode in varchar2 default null,     -- รหัสบริษัท
      pKindOfIns in varchar2 default null    -- ชนิดประกัน
    ) ;</t>
  </si>
  <si>
    <t>GetListInsurance</t>
  </si>
  <si>
    <t>GetListMasterGet</t>
  </si>
  <si>
    <t>getInsuranceByKey(
      pRecordSet out sys_refcursor,
      p_tran_id           IN  varchar2 DEFAULT NULL,
      p_a_order           IN  varchar2 DEFAULT NULL,
      p_agr_code          IN  varchar2 DEFAULT NULL,
      p_ref_code          IN  varchar2 DEFAULT NULL,
      p_com_code          IN  varchar2 DEFAULT NULL,
      p_kind_of_insurance IN  varchar2 DEFAULT NULL,
      p_ins_date          IN  date DEFAULT NULL
    ) ;</t>
  </si>
  <si>
    <t xml:space="preserve">เขียน dropdown seller code, paymenthod, kindOfIns, typeOfIns ให้สามาถใช้ service ได้ </t>
  </si>
  <si>
    <t>เพิ่มหน้า form maintain data ให้สามารถแสดงข้อมูลตาม key ที่ส่งไปได้</t>
  </si>
  <si>
    <t>getInsuranceCoverageByKey(
          pRecordSet          OUT SYS_REFCURSOR,
          p_tran_id           IN  VARCHAR2 DEFAULT NULL,
          p_a_order           IN  VARCHAR2 DEFAULT NULL,
          p_agr_code          IN  VARCHAR2 DEFAULT NULL,
          p_ref_code          IN  VARCHAR2 DEFAULT NULL,
          p_com_code          IN  VARCHAR2 DEFAULT NULL,
          p_kind_of_insurance IN  VARCHAR2 DEFAULT NULL,
          p_ins_date          IN  DATE DEFAULT NULL
      ) ;</t>
  </si>
  <si>
    <t>GetInsuranceCoverageByKey</t>
  </si>
  <si>
    <t xml:space="preserve">เพิ่มหน้า form ความคุมครอง / สถานะ </t>
  </si>
  <si>
    <t>แก้ไข้หน้า form ความคุมครอง / สถานะ ให้สามารถแสดงข้อมูลตาม key ที่ส่งไปได้</t>
  </si>
  <si>
    <t xml:space="preserve">เพิ่มหน้า ดูรายละเอียด dialog compulsory </t>
  </si>
  <si>
    <t>getCompulsoryByKey(
            pRecordSet     out sys_refcursor,
            p_vu           IN  VARCHAR2 DEFAULT NULL,
            p_qmatrix      IN  VARCHAR2 DEFAULT NULL
      ) ;</t>
  </si>
  <si>
    <t>แก้ไขหน้าแสดง list รายการประกัน, และ filter, การค้นหา ให้มันตรงกับ service</t>
  </si>
  <si>
    <t>แก้ไข List แสดงรายการ, filter ให้เป็น input ที่ให้กรอกในแต่ละ column, การค้นหา, form ให้สวยขึ้น</t>
  </si>
  <si>
    <t>แก้ไข หน้าให้มีข้อมูลตรงกับในฐานข้อมูล</t>
  </si>
  <si>
    <t>แก้ไขหน้า ดูรายละเอียด dialog compulsory ให้สามารถใช้ service ได้</t>
  </si>
  <si>
    <t>GetCompulsoryByKey</t>
  </si>
  <si>
    <t>procedure getGuarantorByKey(
                pRecordSet     out sys_refcursor,
                p_comcode      in varchar2 default null,
                p_refcode      in varchar2 default null
        ) ;</t>
  </si>
  <si>
    <t>GetGuarantorByKey</t>
  </si>
  <si>
    <t>แก้ไขหน้า form maintain data ที่ dropdown ผู้ค้ำประกันให้สามารถเรียกใช้ service 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</si>
</sst>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9" x14ac:knownFonts="1">
    <font>
      <sz val="11"/>
      <color theme="1"/>
      <name val="Aptos Narrow"/>
      <family val="2"/>
      <charset val="222"/>
      <scheme val="minor"/>
    </font>
    <font>
      <u/>
      <sz val="11"/>
      <color theme="10"/>
      <name val="Aptos Narrow"/>
      <family val="2"/>
      <charset val="222"/>
      <scheme val="minor"/>
    </font>
    <font>
      <sz val="11"/>
      <name val="Aptos Narrow"/>
      <family val="2"/>
      <charset val="222"/>
      <scheme val="minor"/>
    </font>
    <font>
      <b/>
      <sz val="16"/>
      <color theme="0"/>
      <name val="Cordia New"/>
      <family val="2"/>
      <charset val="222"/>
    </font>
    <font>
      <sz val="11"/>
      <color theme="1"/>
      <name val="Cordia New"/>
      <family val="2"/>
      <charset val="222"/>
    </font>
    <font>
      <b/>
      <sz val="14"/>
      <color theme="1"/>
      <name val="Cordia New"/>
      <family val="2"/>
      <charset val="222"/>
    </font>
    <font>
      <sz val="14"/>
      <color theme="1"/>
      <name val="Cordia New"/>
      <family val="2"/>
      <charset val="222"/>
    </font>
    <font>
      <sz val="11"/>
      <color rgb="FFFF0000"/>
      <name val="Aptos Narrow"/>
      <family val="2"/>
      <scheme val="minor"/>
    </font>
    <font>
      <sz val="14"/>
      <color theme="1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0" xfId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/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/>
    <xf numFmtId="0" fontId="6" fillId="0" borderId="1" xfId="0" applyFont="1" applyBorder="1"/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9" fontId="5" fillId="3" borderId="1" xfId="0" applyNumberFormat="1" applyFont="1" applyFill="1" applyBorder="1"/>
    <xf numFmtId="0" fontId="5" fillId="3" borderId="1" xfId="0" applyFont="1" applyFill="1" applyBorder="1"/>
    <xf numFmtId="14" fontId="4" fillId="0" borderId="0" xfId="0" applyNumberFormat="1" applyFont="1" applyAlignment="1">
      <alignment horizontal="center" vertical="center"/>
    </xf>
    <xf numFmtId="9" fontId="4" fillId="0" borderId="0" xfId="0" applyNumberFormat="1" applyFont="1"/>
    <xf numFmtId="0" fontId="0" fillId="0" borderId="1" xfId="0" applyBorder="1" applyAlignment="1">
      <alignment horizontal="center" vertical="top"/>
    </xf>
    <xf numFmtId="0" fontId="2" fillId="0" borderId="1" xfId="1" applyFont="1" applyBorder="1" applyAlignment="1">
      <alignment horizontal="center" vertical="top"/>
    </xf>
    <xf numFmtId="14" fontId="0" fillId="0" borderId="1" xfId="0" applyNumberFormat="1" applyBorder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14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65" fontId="5" fillId="0" borderId="2" xfId="0" applyNumberFormat="1" applyFont="1" applyBorder="1" applyAlignment="1">
      <alignment horizontal="left"/>
    </xf>
    <xf numFmtId="165" fontId="5" fillId="0" borderId="3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left"/>
    </xf>
    <xf numFmtId="9" fontId="5" fillId="3" borderId="3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ISA-AP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AB07-C219-4A1A-A00C-860F00461FF1}">
  <sheetPr>
    <tabColor rgb="FFFF0000"/>
  </sheetPr>
  <dimension ref="A1:F11"/>
  <sheetViews>
    <sheetView workbookViewId="0">
      <selection activeCell="H8" sqref="H8"/>
    </sheetView>
  </sheetViews>
  <sheetFormatPr defaultColWidth="8.69921875" defaultRowHeight="16.8" x14ac:dyDescent="0.4"/>
  <cols>
    <col min="1" max="1" width="8.69921875" style="1"/>
    <col min="2" max="2" width="27.69921875" style="1" bestFit="1" customWidth="1"/>
    <col min="3" max="3" width="47.69921875" style="1" customWidth="1"/>
    <col min="4" max="4" width="14.59765625" style="1" customWidth="1"/>
    <col min="5" max="5" width="12.69921875" style="1" customWidth="1"/>
    <col min="6" max="6" width="14.69921875" style="1" bestFit="1" customWidth="1"/>
    <col min="7" max="16384" width="8.69921875" style="1"/>
  </cols>
  <sheetData>
    <row r="1" spans="1:6" x14ac:dyDescent="0.4">
      <c r="B1" s="1" t="s">
        <v>17</v>
      </c>
    </row>
    <row r="2" spans="1:6" x14ac:dyDescent="0.4">
      <c r="B2" s="1" t="s">
        <v>16</v>
      </c>
    </row>
    <row r="3" spans="1:6" x14ac:dyDescent="0.4">
      <c r="B3" s="4" t="s">
        <v>15</v>
      </c>
    </row>
    <row r="4" spans="1:6" x14ac:dyDescent="0.4">
      <c r="C4" s="4"/>
    </row>
    <row r="5" spans="1:6" x14ac:dyDescent="0.4">
      <c r="A5" s="24" t="s">
        <v>14</v>
      </c>
      <c r="B5" s="24" t="s">
        <v>13</v>
      </c>
      <c r="C5" s="25" t="s">
        <v>12</v>
      </c>
      <c r="D5" s="24" t="s">
        <v>11</v>
      </c>
      <c r="E5" s="24" t="s">
        <v>10</v>
      </c>
      <c r="F5" s="24" t="s">
        <v>9</v>
      </c>
    </row>
    <row r="6" spans="1:6" ht="134.4" x14ac:dyDescent="0.4">
      <c r="A6" s="2">
        <v>2</v>
      </c>
      <c r="B6" s="2" t="s">
        <v>8</v>
      </c>
      <c r="C6" s="3" t="s">
        <v>53</v>
      </c>
      <c r="D6" s="2" t="s">
        <v>5</v>
      </c>
      <c r="E6" s="2" t="s">
        <v>57</v>
      </c>
      <c r="F6" s="2"/>
    </row>
    <row r="7" spans="1:6" ht="35.4" customHeight="1" x14ac:dyDescent="0.4">
      <c r="A7" s="2">
        <v>5</v>
      </c>
      <c r="B7" s="2" t="s">
        <v>7</v>
      </c>
      <c r="C7" s="3" t="s">
        <v>52</v>
      </c>
      <c r="D7" s="2" t="s">
        <v>5</v>
      </c>
      <c r="E7" s="2" t="s">
        <v>56</v>
      </c>
      <c r="F7" s="2"/>
    </row>
    <row r="8" spans="1:6" ht="136.80000000000001" x14ac:dyDescent="0.4">
      <c r="A8" s="2">
        <v>6</v>
      </c>
      <c r="B8" s="2" t="s">
        <v>6</v>
      </c>
      <c r="C8" s="3" t="s">
        <v>54</v>
      </c>
      <c r="D8" s="2" t="s">
        <v>5</v>
      </c>
      <c r="E8" s="2" t="s">
        <v>58</v>
      </c>
      <c r="F8" s="2"/>
    </row>
    <row r="9" spans="1:6" ht="67.2" x14ac:dyDescent="0.4">
      <c r="A9" s="2">
        <v>3</v>
      </c>
      <c r="B9" s="2" t="s">
        <v>4</v>
      </c>
      <c r="C9" s="3" t="s">
        <v>51</v>
      </c>
      <c r="D9" s="2" t="s">
        <v>0</v>
      </c>
      <c r="E9" s="2" t="s">
        <v>59</v>
      </c>
      <c r="F9" s="2"/>
    </row>
    <row r="10" spans="1:6" ht="67.2" x14ac:dyDescent="0.4">
      <c r="A10" s="2">
        <v>4</v>
      </c>
      <c r="B10" s="2" t="s">
        <v>3</v>
      </c>
      <c r="C10" s="3" t="s">
        <v>2</v>
      </c>
      <c r="D10" s="2" t="s">
        <v>0</v>
      </c>
      <c r="E10" s="2" t="s">
        <v>59</v>
      </c>
      <c r="F10" s="2"/>
    </row>
    <row r="11" spans="1:6" ht="38.4" customHeight="1" x14ac:dyDescent="0.4">
      <c r="A11" s="2">
        <v>9</v>
      </c>
      <c r="B11" s="2" t="s">
        <v>1</v>
      </c>
      <c r="C11" s="3" t="s">
        <v>55</v>
      </c>
      <c r="D11" s="2" t="s">
        <v>0</v>
      </c>
      <c r="E11" s="2" t="s">
        <v>59</v>
      </c>
      <c r="F11" s="2"/>
    </row>
  </sheetData>
  <hyperlinks>
    <hyperlink ref="B3" r:id="rId1" xr:uid="{B7DDE90D-02CF-440D-968A-46D4A5D3889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BCC4-2B83-45F6-85B9-DFB77F7A2CAA}">
  <sheetPr>
    <tabColor theme="9" tint="0.59999389629810485"/>
  </sheetPr>
  <dimension ref="A2:G34"/>
  <sheetViews>
    <sheetView zoomScale="115" zoomScaleNormal="115" workbookViewId="0">
      <selection activeCell="D5" sqref="D5"/>
    </sheetView>
  </sheetViews>
  <sheetFormatPr defaultRowHeight="16.8" x14ac:dyDescent="0.4"/>
  <cols>
    <col min="2" max="2" width="29.69921875" customWidth="1"/>
    <col min="4" max="4" width="11.69921875" customWidth="1"/>
    <col min="5" max="5" width="11.59765625" customWidth="1"/>
    <col min="6" max="6" width="8.796875" style="28"/>
    <col min="7" max="7" width="28.796875" customWidth="1"/>
  </cols>
  <sheetData>
    <row r="2" spans="1:7" x14ac:dyDescent="0.4">
      <c r="A2" t="s">
        <v>49</v>
      </c>
    </row>
    <row r="3" spans="1:7" x14ac:dyDescent="0.4">
      <c r="A3" s="6" t="s">
        <v>14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9</v>
      </c>
      <c r="G3" s="6" t="s">
        <v>23</v>
      </c>
    </row>
    <row r="4" spans="1:7" x14ac:dyDescent="0.4">
      <c r="A4" s="24">
        <v>1</v>
      </c>
      <c r="B4" s="29" t="s">
        <v>48</v>
      </c>
      <c r="C4" s="6">
        <v>8</v>
      </c>
      <c r="D4" s="26">
        <v>45985</v>
      </c>
      <c r="E4" s="26">
        <v>45964</v>
      </c>
      <c r="F4" s="35">
        <v>1</v>
      </c>
      <c r="G4" s="5"/>
    </row>
    <row r="5" spans="1:7" x14ac:dyDescent="0.4">
      <c r="A5" s="6">
        <v>2</v>
      </c>
      <c r="B5" s="5" t="s">
        <v>24</v>
      </c>
      <c r="C5" s="6">
        <v>10</v>
      </c>
      <c r="D5" s="26">
        <v>45995</v>
      </c>
      <c r="E5" s="26">
        <v>46010</v>
      </c>
      <c r="F5" s="35">
        <v>1</v>
      </c>
      <c r="G5" s="5"/>
    </row>
    <row r="6" spans="1:7" x14ac:dyDescent="0.4">
      <c r="A6" s="6">
        <v>3</v>
      </c>
      <c r="B6" s="5" t="s">
        <v>25</v>
      </c>
      <c r="C6" s="6">
        <v>1</v>
      </c>
      <c r="D6" s="26">
        <v>46010</v>
      </c>
      <c r="E6" s="26">
        <v>46010</v>
      </c>
      <c r="F6" s="35">
        <v>1</v>
      </c>
      <c r="G6" s="5"/>
    </row>
    <row r="7" spans="1:7" x14ac:dyDescent="0.4">
      <c r="A7" s="6">
        <v>4</v>
      </c>
      <c r="B7" s="5" t="s">
        <v>26</v>
      </c>
      <c r="C7" s="6">
        <v>36</v>
      </c>
      <c r="D7" s="26">
        <v>46013</v>
      </c>
      <c r="E7" s="26">
        <v>46066</v>
      </c>
      <c r="F7" s="35">
        <f>AVERAGE(F8:F10)</f>
        <v>0.35333333333333333</v>
      </c>
      <c r="G7" s="5"/>
    </row>
    <row r="8" spans="1:7" x14ac:dyDescent="0.4">
      <c r="A8" s="6"/>
      <c r="B8" s="30" t="s">
        <v>18</v>
      </c>
      <c r="C8" s="6"/>
      <c r="D8" s="26"/>
      <c r="E8" s="26"/>
      <c r="F8" s="35">
        <v>0.66</v>
      </c>
      <c r="G8" s="5"/>
    </row>
    <row r="9" spans="1:7" x14ac:dyDescent="0.4">
      <c r="A9" s="6"/>
      <c r="B9" s="30" t="s">
        <v>30</v>
      </c>
      <c r="C9" s="6"/>
      <c r="D9" s="26"/>
      <c r="E9" s="26"/>
      <c r="F9" s="35">
        <v>0.2</v>
      </c>
      <c r="G9" s="5"/>
    </row>
    <row r="10" spans="1:7" x14ac:dyDescent="0.4">
      <c r="A10" s="6"/>
      <c r="B10" s="30" t="s">
        <v>31</v>
      </c>
      <c r="C10" s="6"/>
      <c r="D10" s="26"/>
      <c r="E10" s="26"/>
      <c r="F10" s="35">
        <v>0.2</v>
      </c>
      <c r="G10" s="5"/>
    </row>
    <row r="11" spans="1:7" x14ac:dyDescent="0.4">
      <c r="A11" s="6">
        <v>5</v>
      </c>
      <c r="B11" s="5" t="s">
        <v>27</v>
      </c>
      <c r="C11" s="6">
        <v>5</v>
      </c>
      <c r="D11" s="26">
        <v>46069</v>
      </c>
      <c r="E11" s="26">
        <v>46073</v>
      </c>
      <c r="F11" s="35">
        <v>0</v>
      </c>
      <c r="G11" s="5"/>
    </row>
    <row r="12" spans="1:7" x14ac:dyDescent="0.4">
      <c r="A12" s="6">
        <v>6</v>
      </c>
      <c r="B12" s="5" t="s">
        <v>28</v>
      </c>
      <c r="C12" s="6">
        <v>5</v>
      </c>
      <c r="D12" s="26">
        <v>46076</v>
      </c>
      <c r="E12" s="26">
        <v>46080</v>
      </c>
      <c r="F12" s="35">
        <v>0</v>
      </c>
      <c r="G12" s="5"/>
    </row>
    <row r="13" spans="1:7" x14ac:dyDescent="0.4">
      <c r="A13" s="6">
        <v>7</v>
      </c>
      <c r="B13" s="5" t="s">
        <v>47</v>
      </c>
      <c r="C13" s="6">
        <v>2</v>
      </c>
      <c r="D13" s="26">
        <v>46083</v>
      </c>
      <c r="E13" s="26">
        <v>46084</v>
      </c>
      <c r="F13" s="35">
        <v>0</v>
      </c>
      <c r="G13" s="5"/>
    </row>
    <row r="14" spans="1:7" x14ac:dyDescent="0.4">
      <c r="A14" s="6">
        <v>8</v>
      </c>
      <c r="B14" s="5" t="s">
        <v>29</v>
      </c>
      <c r="C14" s="6"/>
      <c r="D14" s="26">
        <v>46086</v>
      </c>
      <c r="E14" s="26">
        <v>46086</v>
      </c>
      <c r="F14" s="35">
        <v>0</v>
      </c>
      <c r="G14" s="5"/>
    </row>
    <row r="19" spans="1:5" x14ac:dyDescent="0.4">
      <c r="A19" s="28"/>
      <c r="D19" s="27"/>
      <c r="E19" s="27"/>
    </row>
    <row r="20" spans="1:5" x14ac:dyDescent="0.4">
      <c r="A20" s="28"/>
      <c r="D20" s="27"/>
      <c r="E20" s="27"/>
    </row>
    <row r="21" spans="1:5" x14ac:dyDescent="0.4">
      <c r="A21" s="28"/>
      <c r="D21" s="27"/>
      <c r="E21" s="27"/>
    </row>
    <row r="22" spans="1:5" x14ac:dyDescent="0.4">
      <c r="A22" s="28"/>
    </row>
    <row r="23" spans="1:5" x14ac:dyDescent="0.4">
      <c r="A23" s="28"/>
    </row>
    <row r="24" spans="1:5" x14ac:dyDescent="0.4">
      <c r="A24" s="28"/>
    </row>
    <row r="29" spans="1:5" x14ac:dyDescent="0.4">
      <c r="A29" s="28"/>
      <c r="D29" s="27"/>
      <c r="E29" s="27"/>
    </row>
    <row r="30" spans="1:5" x14ac:dyDescent="0.4">
      <c r="A30" s="28"/>
      <c r="D30" s="27"/>
      <c r="E30" s="27"/>
    </row>
    <row r="31" spans="1:5" x14ac:dyDescent="0.4">
      <c r="A31" s="28"/>
    </row>
    <row r="32" spans="1:5" x14ac:dyDescent="0.4">
      <c r="A32" s="28"/>
    </row>
    <row r="33" spans="1:1" x14ac:dyDescent="0.4">
      <c r="A33" s="28"/>
    </row>
    <row r="34" spans="1:1" x14ac:dyDescent="0.4">
      <c r="A3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4CB8-4E9E-4BF9-8822-A24B0F931FB3}">
  <sheetPr>
    <tabColor theme="9" tint="0.59999389629810485"/>
  </sheetPr>
  <dimension ref="A1:L44"/>
  <sheetViews>
    <sheetView tabSelected="1" topLeftCell="A15" zoomScaleNormal="100" workbookViewId="0">
      <selection activeCell="H24" sqref="H24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41" t="s">
        <v>35</v>
      </c>
      <c r="B1" s="42"/>
      <c r="C1" s="42"/>
      <c r="D1" s="42"/>
      <c r="E1" s="42"/>
      <c r="F1" s="42"/>
      <c r="G1" s="43"/>
      <c r="H1" s="7"/>
      <c r="I1" s="8"/>
      <c r="K1" s="10"/>
    </row>
    <row r="2" spans="1:12" ht="20.399999999999999" x14ac:dyDescent="0.55000000000000004">
      <c r="A2" s="11" t="s">
        <v>36</v>
      </c>
      <c r="B2" s="44" t="s">
        <v>18</v>
      </c>
      <c r="C2" s="45"/>
      <c r="D2" s="45"/>
      <c r="E2" s="45"/>
      <c r="F2" s="45"/>
      <c r="G2" s="46"/>
      <c r="H2" s="7"/>
      <c r="I2" s="8"/>
      <c r="K2" s="10"/>
    </row>
    <row r="3" spans="1:12" ht="20.399999999999999" x14ac:dyDescent="0.55000000000000004">
      <c r="A3" s="11" t="s">
        <v>37</v>
      </c>
      <c r="B3" s="47">
        <v>1</v>
      </c>
      <c r="C3" s="48"/>
      <c r="D3" s="48"/>
      <c r="E3" s="48"/>
      <c r="F3" s="48"/>
      <c r="G3" s="49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50" t="s">
        <v>38</v>
      </c>
      <c r="B5" s="51"/>
      <c r="C5" s="51"/>
      <c r="D5" s="51"/>
      <c r="E5" s="51"/>
      <c r="F5" s="51"/>
      <c r="G5" s="52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3" t="s">
        <v>43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5"/>
    </row>
    <row r="7" spans="1:12" ht="21" x14ac:dyDescent="0.6">
      <c r="A7" s="38" t="s">
        <v>68</v>
      </c>
      <c r="B7" s="39"/>
      <c r="C7" s="39"/>
      <c r="D7" s="39"/>
      <c r="E7" s="39"/>
      <c r="F7" s="39"/>
      <c r="G7" s="40"/>
      <c r="H7" s="37">
        <v>45995</v>
      </c>
      <c r="I7" s="37">
        <v>45995</v>
      </c>
      <c r="J7" s="15">
        <v>1</v>
      </c>
      <c r="K7" s="16">
        <v>1</v>
      </c>
      <c r="L7" s="17"/>
    </row>
    <row r="8" spans="1:12" ht="21" x14ac:dyDescent="0.6">
      <c r="A8" s="38" t="s">
        <v>69</v>
      </c>
      <c r="B8" s="39"/>
      <c r="C8" s="39"/>
      <c r="D8" s="39"/>
      <c r="E8" s="39"/>
      <c r="F8" s="39"/>
      <c r="G8" s="40"/>
      <c r="H8" s="37">
        <v>45999</v>
      </c>
      <c r="I8" s="37">
        <v>46002</v>
      </c>
      <c r="J8" s="15">
        <v>3</v>
      </c>
      <c r="K8" s="16">
        <v>1</v>
      </c>
      <c r="L8" s="17"/>
    </row>
    <row r="9" spans="1:12" ht="21" x14ac:dyDescent="0.6">
      <c r="A9" s="38" t="s">
        <v>89</v>
      </c>
      <c r="B9" s="39"/>
      <c r="C9" s="39"/>
      <c r="D9" s="39"/>
      <c r="E9" s="39"/>
      <c r="F9" s="39"/>
      <c r="G9" s="40"/>
      <c r="H9" s="37">
        <v>46003</v>
      </c>
      <c r="I9" s="37">
        <v>46003</v>
      </c>
      <c r="J9" s="15">
        <v>1</v>
      </c>
      <c r="K9" s="16">
        <v>1</v>
      </c>
      <c r="L9" s="17"/>
    </row>
    <row r="10" spans="1:12" ht="21" x14ac:dyDescent="0.6">
      <c r="A10" s="38" t="s">
        <v>70</v>
      </c>
      <c r="B10" s="39"/>
      <c r="C10" s="39"/>
      <c r="D10" s="39"/>
      <c r="E10" s="39"/>
      <c r="F10" s="39"/>
      <c r="G10" s="40"/>
      <c r="H10" s="37">
        <v>46006</v>
      </c>
      <c r="I10" s="37">
        <v>46007</v>
      </c>
      <c r="J10" s="15">
        <v>2</v>
      </c>
      <c r="K10" s="16">
        <v>1</v>
      </c>
      <c r="L10" s="17"/>
    </row>
    <row r="11" spans="1:12" ht="21" x14ac:dyDescent="0.6">
      <c r="A11" s="38" t="s">
        <v>88</v>
      </c>
      <c r="B11" s="39"/>
      <c r="C11" s="39"/>
      <c r="D11" s="39"/>
      <c r="E11" s="39"/>
      <c r="F11" s="39"/>
      <c r="G11" s="40"/>
      <c r="H11" s="37">
        <v>46008</v>
      </c>
      <c r="I11" s="37">
        <v>46009</v>
      </c>
      <c r="J11" s="15">
        <v>2</v>
      </c>
      <c r="K11" s="16">
        <v>1</v>
      </c>
      <c r="L11" s="17"/>
    </row>
    <row r="12" spans="1:12" ht="21" x14ac:dyDescent="0.6">
      <c r="A12" s="38" t="s">
        <v>71</v>
      </c>
      <c r="B12" s="39"/>
      <c r="C12" s="39"/>
      <c r="D12" s="39"/>
      <c r="E12" s="39"/>
      <c r="F12" s="39"/>
      <c r="G12" s="40"/>
      <c r="H12" s="37">
        <v>46010</v>
      </c>
      <c r="I12" s="37">
        <v>46010</v>
      </c>
      <c r="J12" s="15">
        <v>1</v>
      </c>
      <c r="K12" s="16">
        <v>1</v>
      </c>
      <c r="L12" s="17"/>
    </row>
    <row r="13" spans="1:12" ht="21" x14ac:dyDescent="0.6">
      <c r="A13" s="38" t="s">
        <v>72</v>
      </c>
      <c r="B13" s="39"/>
      <c r="C13" s="39"/>
      <c r="D13" s="39"/>
      <c r="E13" s="39"/>
      <c r="F13" s="39"/>
      <c r="G13" s="40"/>
      <c r="H13" s="37">
        <v>46013</v>
      </c>
      <c r="I13" s="37">
        <v>46013</v>
      </c>
      <c r="J13" s="15">
        <v>0.2</v>
      </c>
      <c r="K13" s="16">
        <v>1</v>
      </c>
      <c r="L13" s="17"/>
    </row>
    <row r="14" spans="1:12" ht="21" x14ac:dyDescent="0.6">
      <c r="A14" s="38" t="s">
        <v>73</v>
      </c>
      <c r="B14" s="39"/>
      <c r="C14" s="39"/>
      <c r="D14" s="39"/>
      <c r="E14" s="39"/>
      <c r="F14" s="39"/>
      <c r="G14" s="40"/>
      <c r="H14" s="37">
        <v>46013</v>
      </c>
      <c r="I14" s="37">
        <v>46013</v>
      </c>
      <c r="J14" s="15">
        <v>0.8</v>
      </c>
      <c r="K14" s="16">
        <v>1</v>
      </c>
      <c r="L14" s="17"/>
    </row>
    <row r="15" spans="1:12" ht="21" x14ac:dyDescent="0.6">
      <c r="A15" s="38" t="s">
        <v>74</v>
      </c>
      <c r="B15" s="39"/>
      <c r="C15" s="39"/>
      <c r="D15" s="39"/>
      <c r="E15" s="39"/>
      <c r="F15" s="39"/>
      <c r="G15" s="40"/>
      <c r="H15" s="37">
        <v>46014</v>
      </c>
      <c r="I15" s="37">
        <v>46014</v>
      </c>
      <c r="J15" s="15">
        <v>1</v>
      </c>
      <c r="K15" s="16">
        <v>1</v>
      </c>
      <c r="L15" s="17"/>
    </row>
    <row r="16" spans="1:12" ht="21" x14ac:dyDescent="0.6">
      <c r="A16" s="38" t="s">
        <v>87</v>
      </c>
      <c r="B16" s="39"/>
      <c r="C16" s="39"/>
      <c r="D16" s="39"/>
      <c r="E16" s="39"/>
      <c r="F16" s="39"/>
      <c r="G16" s="40"/>
      <c r="H16" s="37">
        <v>46016</v>
      </c>
      <c r="I16" s="37">
        <v>46016</v>
      </c>
      <c r="J16" s="15">
        <v>0.5</v>
      </c>
      <c r="K16" s="16">
        <v>1</v>
      </c>
      <c r="L16" s="17"/>
    </row>
    <row r="17" spans="1:12" ht="21" x14ac:dyDescent="0.6">
      <c r="A17" s="38" t="s">
        <v>80</v>
      </c>
      <c r="B17" s="39"/>
      <c r="C17" s="39"/>
      <c r="D17" s="39"/>
      <c r="E17" s="39"/>
      <c r="F17" s="39"/>
      <c r="G17" s="40"/>
      <c r="H17" s="37">
        <v>46017</v>
      </c>
      <c r="I17" s="37">
        <v>46017</v>
      </c>
      <c r="J17" s="15">
        <v>1</v>
      </c>
      <c r="K17" s="16">
        <v>1</v>
      </c>
      <c r="L17" s="17"/>
    </row>
    <row r="18" spans="1:12" ht="21" x14ac:dyDescent="0.6">
      <c r="A18" s="38" t="s">
        <v>79</v>
      </c>
      <c r="B18" s="39"/>
      <c r="C18" s="39"/>
      <c r="D18" s="39"/>
      <c r="E18" s="39"/>
      <c r="F18" s="39"/>
      <c r="G18" s="40"/>
      <c r="H18" s="37">
        <v>46020</v>
      </c>
      <c r="I18" s="37">
        <v>46020</v>
      </c>
      <c r="J18" s="15">
        <v>1</v>
      </c>
      <c r="K18" s="16">
        <v>1</v>
      </c>
      <c r="L18" s="17"/>
    </row>
    <row r="19" spans="1:12" ht="21" x14ac:dyDescent="0.6">
      <c r="A19" s="38" t="s">
        <v>83</v>
      </c>
      <c r="B19" s="39"/>
      <c r="C19" s="39"/>
      <c r="D19" s="39"/>
      <c r="E19" s="39"/>
      <c r="F19" s="39"/>
      <c r="G19" s="40"/>
      <c r="H19" s="37">
        <v>46021</v>
      </c>
      <c r="I19" s="37">
        <v>46021</v>
      </c>
      <c r="J19" s="15">
        <v>0.5</v>
      </c>
      <c r="K19" s="16">
        <v>1</v>
      </c>
      <c r="L19" s="17"/>
    </row>
    <row r="20" spans="1:12" ht="21" x14ac:dyDescent="0.6">
      <c r="A20" s="38" t="s">
        <v>84</v>
      </c>
      <c r="B20" s="39"/>
      <c r="C20" s="39"/>
      <c r="D20" s="39"/>
      <c r="E20" s="39"/>
      <c r="F20" s="39"/>
      <c r="G20" s="40"/>
      <c r="H20" s="37">
        <v>46021</v>
      </c>
      <c r="I20" s="37">
        <v>46021</v>
      </c>
      <c r="J20" s="15">
        <v>0.2</v>
      </c>
      <c r="K20" s="16">
        <v>1</v>
      </c>
      <c r="L20" s="17"/>
    </row>
    <row r="21" spans="1:12" ht="21" x14ac:dyDescent="0.6">
      <c r="A21" s="38" t="s">
        <v>85</v>
      </c>
      <c r="B21" s="39"/>
      <c r="C21" s="39"/>
      <c r="D21" s="39"/>
      <c r="E21" s="39"/>
      <c r="F21" s="39"/>
      <c r="G21" s="40"/>
      <c r="H21" s="37">
        <v>46027</v>
      </c>
      <c r="I21" s="37">
        <v>46027</v>
      </c>
      <c r="J21" s="15">
        <v>0.5</v>
      </c>
      <c r="K21" s="16">
        <v>1</v>
      </c>
      <c r="L21" s="17"/>
    </row>
    <row r="22" spans="1:12" ht="21" x14ac:dyDescent="0.6">
      <c r="A22" s="38" t="s">
        <v>90</v>
      </c>
      <c r="B22" s="39"/>
      <c r="C22" s="39"/>
      <c r="D22" s="39"/>
      <c r="E22" s="39"/>
      <c r="F22" s="39"/>
      <c r="G22" s="40"/>
      <c r="H22" s="37">
        <v>46027</v>
      </c>
      <c r="I22" s="37">
        <v>46027</v>
      </c>
      <c r="J22" s="15">
        <v>0.1</v>
      </c>
      <c r="K22" s="16">
        <v>1</v>
      </c>
      <c r="L22" s="17"/>
    </row>
    <row r="23" spans="1:12" ht="21" x14ac:dyDescent="0.6">
      <c r="A23" s="38" t="s">
        <v>94</v>
      </c>
      <c r="B23" s="39"/>
      <c r="C23" s="39"/>
      <c r="D23" s="39"/>
      <c r="E23" s="39"/>
      <c r="F23" s="39"/>
      <c r="G23" s="40"/>
      <c r="H23" s="37">
        <v>46027</v>
      </c>
      <c r="I23" s="37">
        <v>46027</v>
      </c>
      <c r="J23" s="15">
        <v>0.1</v>
      </c>
      <c r="K23" s="16">
        <v>1</v>
      </c>
      <c r="L23" s="17"/>
    </row>
    <row r="24" spans="1:12" ht="21" x14ac:dyDescent="0.6">
      <c r="A24" s="38"/>
      <c r="B24" s="39"/>
      <c r="C24" s="39"/>
      <c r="D24" s="39"/>
      <c r="E24" s="39"/>
      <c r="F24" s="39"/>
      <c r="G24" s="40"/>
      <c r="H24" s="37"/>
      <c r="I24" s="37"/>
      <c r="J24" s="15"/>
      <c r="K24" s="16"/>
      <c r="L24" s="17"/>
    </row>
    <row r="25" spans="1:12" ht="21" x14ac:dyDescent="0.6">
      <c r="A25" s="38" t="s">
        <v>61</v>
      </c>
      <c r="B25" s="39"/>
      <c r="C25" s="39"/>
      <c r="D25" s="39"/>
      <c r="E25" s="39"/>
      <c r="F25" s="39"/>
      <c r="G25" s="40"/>
      <c r="H25" s="37">
        <v>46012</v>
      </c>
      <c r="I25" s="37">
        <v>46066</v>
      </c>
      <c r="J25" s="15">
        <v>0</v>
      </c>
      <c r="K25" s="16">
        <v>0.9</v>
      </c>
      <c r="L25" s="17"/>
    </row>
    <row r="26" spans="1:12" ht="20.399999999999999" x14ac:dyDescent="0.55000000000000004">
      <c r="A26" s="53" t="s">
        <v>44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5"/>
    </row>
    <row r="27" spans="1:12" ht="21" x14ac:dyDescent="0.6">
      <c r="A27" s="38" t="s">
        <v>76</v>
      </c>
      <c r="B27" s="39"/>
      <c r="C27" s="39"/>
      <c r="D27" s="39"/>
      <c r="E27" s="39"/>
      <c r="F27" s="39"/>
      <c r="G27" s="40"/>
      <c r="H27" s="14">
        <v>46015</v>
      </c>
      <c r="I27" s="14">
        <v>46015</v>
      </c>
      <c r="J27" s="15">
        <v>0.3</v>
      </c>
      <c r="K27" s="16">
        <v>1</v>
      </c>
      <c r="L27" s="17"/>
    </row>
    <row r="28" spans="1:12" ht="21" x14ac:dyDescent="0.6">
      <c r="A28" s="38" t="s">
        <v>77</v>
      </c>
      <c r="B28" s="39"/>
      <c r="C28" s="39"/>
      <c r="D28" s="39"/>
      <c r="E28" s="39"/>
      <c r="F28" s="39"/>
      <c r="G28" s="40"/>
      <c r="H28" s="14">
        <v>46015</v>
      </c>
      <c r="I28" s="14">
        <v>46015</v>
      </c>
      <c r="J28" s="15">
        <v>0.2</v>
      </c>
      <c r="K28" s="16">
        <v>1</v>
      </c>
      <c r="L28" s="17"/>
    </row>
    <row r="29" spans="1:12" ht="21" x14ac:dyDescent="0.6">
      <c r="A29" s="38" t="s">
        <v>82</v>
      </c>
      <c r="B29" s="39"/>
      <c r="C29" s="39"/>
      <c r="D29" s="39"/>
      <c r="E29" s="39"/>
      <c r="F29" s="39"/>
      <c r="G29" s="40"/>
      <c r="H29" s="14">
        <v>46021</v>
      </c>
      <c r="I29" s="14">
        <v>46021</v>
      </c>
      <c r="J29" s="15">
        <v>0.1</v>
      </c>
      <c r="K29" s="16">
        <v>1</v>
      </c>
      <c r="L29" s="17"/>
    </row>
    <row r="30" spans="1:12" ht="21" x14ac:dyDescent="0.6">
      <c r="A30" s="38" t="s">
        <v>91</v>
      </c>
      <c r="B30" s="39"/>
      <c r="C30" s="39"/>
      <c r="D30" s="39"/>
      <c r="E30" s="39"/>
      <c r="F30" s="39"/>
      <c r="G30" s="40"/>
      <c r="H30" s="14">
        <v>46027</v>
      </c>
      <c r="I30" s="14">
        <v>46027</v>
      </c>
      <c r="J30" s="15">
        <v>0.1</v>
      </c>
      <c r="K30" s="16">
        <v>1</v>
      </c>
      <c r="L30" s="17"/>
    </row>
    <row r="31" spans="1:12" ht="21" x14ac:dyDescent="0.6">
      <c r="A31" s="38" t="s">
        <v>93</v>
      </c>
      <c r="B31" s="39"/>
      <c r="C31" s="39"/>
      <c r="D31" s="39"/>
      <c r="E31" s="39"/>
      <c r="F31" s="39"/>
      <c r="G31" s="40"/>
      <c r="H31" s="14">
        <v>46027</v>
      </c>
      <c r="I31" s="14">
        <v>46027</v>
      </c>
      <c r="J31" s="15">
        <v>0.05</v>
      </c>
      <c r="K31" s="16">
        <v>1</v>
      </c>
      <c r="L31" s="17"/>
    </row>
    <row r="32" spans="1:12" ht="21" x14ac:dyDescent="0.6">
      <c r="A32" s="38" t="s">
        <v>62</v>
      </c>
      <c r="B32" s="39"/>
      <c r="C32" s="39"/>
      <c r="D32" s="39"/>
      <c r="E32" s="39"/>
      <c r="F32" s="39"/>
      <c r="G32" s="40"/>
      <c r="H32" s="14">
        <v>46012</v>
      </c>
      <c r="I32" s="14">
        <v>46066</v>
      </c>
      <c r="J32" s="15">
        <v>0</v>
      </c>
      <c r="K32" s="16">
        <v>0.5</v>
      </c>
      <c r="L32" s="17"/>
    </row>
    <row r="33" spans="1:12" ht="20.399999999999999" x14ac:dyDescent="0.55000000000000004">
      <c r="A33" s="53" t="s">
        <v>45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5"/>
    </row>
    <row r="34" spans="1:12" s="71" customFormat="1" ht="228" customHeight="1" x14ac:dyDescent="0.4">
      <c r="A34" s="67" t="s">
        <v>75</v>
      </c>
      <c r="B34" s="68"/>
      <c r="C34" s="68"/>
      <c r="D34" s="68"/>
      <c r="E34" s="68"/>
      <c r="F34" s="68"/>
      <c r="G34" s="69"/>
      <c r="H34" s="14">
        <v>46015</v>
      </c>
      <c r="I34" s="14">
        <v>46380</v>
      </c>
      <c r="J34" s="65">
        <v>0.5</v>
      </c>
      <c r="K34" s="66">
        <v>1</v>
      </c>
      <c r="L34" s="70"/>
    </row>
    <row r="35" spans="1:12" s="71" customFormat="1" ht="199.2" customHeight="1" x14ac:dyDescent="0.4">
      <c r="A35" s="67" t="s">
        <v>78</v>
      </c>
      <c r="B35" s="68"/>
      <c r="C35" s="68"/>
      <c r="D35" s="68"/>
      <c r="E35" s="68"/>
      <c r="F35" s="68"/>
      <c r="G35" s="69"/>
      <c r="H35" s="14">
        <v>46016</v>
      </c>
      <c r="I35" s="14">
        <v>46016</v>
      </c>
      <c r="J35" s="65">
        <v>0.5</v>
      </c>
      <c r="K35" s="66">
        <v>1</v>
      </c>
      <c r="L35" s="70"/>
    </row>
    <row r="36" spans="1:12" s="71" customFormat="1" ht="215.4" customHeight="1" x14ac:dyDescent="0.4">
      <c r="A36" s="67" t="s">
        <v>81</v>
      </c>
      <c r="B36" s="68"/>
      <c r="C36" s="68"/>
      <c r="D36" s="68"/>
      <c r="E36" s="68"/>
      <c r="F36" s="68"/>
      <c r="G36" s="69"/>
      <c r="H36" s="14">
        <v>46021</v>
      </c>
      <c r="I36" s="14">
        <v>46021</v>
      </c>
      <c r="J36" s="65">
        <v>0.2</v>
      </c>
      <c r="K36" s="66">
        <v>1</v>
      </c>
      <c r="L36" s="70"/>
    </row>
    <row r="37" spans="1:12" ht="106.2" customHeight="1" x14ac:dyDescent="0.6">
      <c r="A37" s="64" t="s">
        <v>86</v>
      </c>
      <c r="B37" s="39"/>
      <c r="C37" s="39"/>
      <c r="D37" s="39"/>
      <c r="E37" s="39"/>
      <c r="F37" s="39"/>
      <c r="G37" s="40"/>
      <c r="H37" s="14">
        <v>46027</v>
      </c>
      <c r="I37" s="14">
        <v>46027</v>
      </c>
      <c r="J37" s="65">
        <v>0.1</v>
      </c>
      <c r="K37" s="66">
        <v>1</v>
      </c>
      <c r="L37" s="17"/>
    </row>
    <row r="38" spans="1:12" ht="99" customHeight="1" x14ac:dyDescent="0.6">
      <c r="A38" s="67" t="s">
        <v>92</v>
      </c>
      <c r="B38" s="68"/>
      <c r="C38" s="68"/>
      <c r="D38" s="68"/>
      <c r="E38" s="68"/>
      <c r="F38" s="68"/>
      <c r="G38" s="69"/>
      <c r="H38" s="14">
        <v>46027</v>
      </c>
      <c r="I38" s="14">
        <v>46027</v>
      </c>
      <c r="J38" s="65">
        <v>0.05</v>
      </c>
      <c r="K38" s="66">
        <v>1</v>
      </c>
      <c r="L38" s="17"/>
    </row>
    <row r="39" spans="1:12" ht="21" x14ac:dyDescent="0.6">
      <c r="A39" s="38"/>
      <c r="B39" s="39"/>
      <c r="C39" s="39"/>
      <c r="D39" s="39"/>
      <c r="E39" s="39"/>
      <c r="F39" s="39"/>
      <c r="G39" s="40"/>
      <c r="H39" s="14"/>
      <c r="I39" s="14"/>
      <c r="J39" s="15"/>
      <c r="K39" s="16"/>
      <c r="L39" s="17"/>
    </row>
    <row r="40" spans="1:12" ht="21" x14ac:dyDescent="0.6">
      <c r="A40" s="38" t="s">
        <v>63</v>
      </c>
      <c r="B40" s="39"/>
      <c r="C40" s="39"/>
      <c r="D40" s="39"/>
      <c r="E40" s="39"/>
      <c r="F40" s="39"/>
      <c r="G40" s="40"/>
      <c r="H40" s="14">
        <v>46012</v>
      </c>
      <c r="I40" s="14">
        <v>46066</v>
      </c>
      <c r="J40" s="15">
        <v>0</v>
      </c>
      <c r="K40" s="16">
        <v>0</v>
      </c>
      <c r="L40" s="17"/>
    </row>
    <row r="41" spans="1:12" ht="20.399999999999999" x14ac:dyDescent="0.55000000000000004">
      <c r="A41" s="53" t="s">
        <v>46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5"/>
    </row>
    <row r="42" spans="1:12" ht="21" x14ac:dyDescent="0.6">
      <c r="A42" s="38" t="s">
        <v>64</v>
      </c>
      <c r="B42" s="39"/>
      <c r="C42" s="39"/>
      <c r="D42" s="39"/>
      <c r="E42" s="39"/>
      <c r="F42" s="39"/>
      <c r="G42" s="40"/>
      <c r="H42" s="14"/>
      <c r="I42" s="14"/>
      <c r="J42" s="15"/>
      <c r="K42" s="16"/>
      <c r="L42" s="17"/>
    </row>
    <row r="43" spans="1:12" ht="21" x14ac:dyDescent="0.6">
      <c r="A43" s="38" t="s">
        <v>65</v>
      </c>
      <c r="B43" s="39"/>
      <c r="C43" s="39"/>
      <c r="D43" s="39"/>
      <c r="E43" s="39"/>
      <c r="F43" s="39"/>
      <c r="G43" s="40"/>
      <c r="H43" s="14"/>
      <c r="I43" s="14"/>
      <c r="J43" s="15"/>
      <c r="K43" s="16"/>
      <c r="L43" s="17"/>
    </row>
    <row r="44" spans="1:12" ht="21" x14ac:dyDescent="0.6">
      <c r="A44" s="56"/>
      <c r="B44" s="57"/>
      <c r="C44" s="57"/>
      <c r="D44" s="57"/>
      <c r="E44" s="57"/>
      <c r="F44" s="57"/>
      <c r="G44" s="58"/>
      <c r="H44" s="18"/>
      <c r="I44" s="18"/>
      <c r="J44" s="19">
        <f>SUM(J7:J43)</f>
        <v>18.000000000000004</v>
      </c>
      <c r="K44" s="20">
        <f>AVERAGE(K7:K43)</f>
        <v>0.94666666666666666</v>
      </c>
      <c r="L44" s="21"/>
    </row>
  </sheetData>
  <mergeCells count="43">
    <mergeCell ref="A39:G39"/>
    <mergeCell ref="A28:G28"/>
    <mergeCell ref="A29:G29"/>
    <mergeCell ref="A20:G20"/>
    <mergeCell ref="A21:G21"/>
    <mergeCell ref="A22:G22"/>
    <mergeCell ref="A23:G23"/>
    <mergeCell ref="A30:G30"/>
    <mergeCell ref="A31:G31"/>
    <mergeCell ref="A24:G24"/>
    <mergeCell ref="A18:G18"/>
    <mergeCell ref="A35:G35"/>
    <mergeCell ref="A36:G36"/>
    <mergeCell ref="A37:G37"/>
    <mergeCell ref="A38:G38"/>
    <mergeCell ref="A44:G44"/>
    <mergeCell ref="A43:G43"/>
    <mergeCell ref="A42:G42"/>
    <mergeCell ref="A25:G25"/>
    <mergeCell ref="A10:G10"/>
    <mergeCell ref="A41:L41"/>
    <mergeCell ref="A26:L26"/>
    <mergeCell ref="A27:G27"/>
    <mergeCell ref="A33:L33"/>
    <mergeCell ref="A34:G34"/>
    <mergeCell ref="A40:G40"/>
    <mergeCell ref="A15:G15"/>
    <mergeCell ref="A19:G19"/>
    <mergeCell ref="A16:G16"/>
    <mergeCell ref="A32:G32"/>
    <mergeCell ref="A17:G17"/>
    <mergeCell ref="A7:G7"/>
    <mergeCell ref="A1:G1"/>
    <mergeCell ref="B2:G2"/>
    <mergeCell ref="B3:G3"/>
    <mergeCell ref="A5:G5"/>
    <mergeCell ref="A6:L6"/>
    <mergeCell ref="A8:G8"/>
    <mergeCell ref="A11:G11"/>
    <mergeCell ref="A12:G12"/>
    <mergeCell ref="A13:G13"/>
    <mergeCell ref="A14:G14"/>
    <mergeCell ref="A9:G9"/>
  </mergeCells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69FA-6E78-41FB-BBE8-89995587ACAD}">
  <sheetPr>
    <tabColor theme="9" tint="0.59999389629810485"/>
  </sheetPr>
  <dimension ref="A1:L17"/>
  <sheetViews>
    <sheetView topLeftCell="A7" workbookViewId="0">
      <selection activeCell="A15" sqref="A15:G15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41" t="s">
        <v>35</v>
      </c>
      <c r="B1" s="42"/>
      <c r="C1" s="42"/>
      <c r="D1" s="42"/>
      <c r="E1" s="42"/>
      <c r="F1" s="42"/>
      <c r="G1" s="43"/>
      <c r="H1" s="7"/>
      <c r="I1" s="8"/>
      <c r="K1" s="10"/>
    </row>
    <row r="2" spans="1:12" ht="20.399999999999999" x14ac:dyDescent="0.55000000000000004">
      <c r="A2" s="11" t="s">
        <v>36</v>
      </c>
      <c r="B2" s="44" t="s">
        <v>30</v>
      </c>
      <c r="C2" s="45"/>
      <c r="D2" s="45"/>
      <c r="E2" s="45"/>
      <c r="F2" s="45"/>
      <c r="G2" s="46"/>
      <c r="H2" s="7"/>
      <c r="I2" s="8"/>
      <c r="K2" s="10"/>
    </row>
    <row r="3" spans="1:12" ht="20.399999999999999" x14ac:dyDescent="0.55000000000000004">
      <c r="A3" s="11" t="s">
        <v>37</v>
      </c>
      <c r="B3" s="47">
        <v>1</v>
      </c>
      <c r="C3" s="48"/>
      <c r="D3" s="48"/>
      <c r="E3" s="48"/>
      <c r="F3" s="48"/>
      <c r="G3" s="49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60" t="s">
        <v>38</v>
      </c>
      <c r="B5" s="60"/>
      <c r="C5" s="60"/>
      <c r="D5" s="60"/>
      <c r="E5" s="60"/>
      <c r="F5" s="60"/>
      <c r="G5" s="60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3" t="s">
        <v>43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5"/>
    </row>
    <row r="7" spans="1:12" ht="21" x14ac:dyDescent="0.6">
      <c r="A7" s="59" t="s">
        <v>60</v>
      </c>
      <c r="B7" s="59"/>
      <c r="C7" s="59"/>
      <c r="D7" s="59"/>
      <c r="E7" s="59"/>
      <c r="F7" s="59"/>
      <c r="G7" s="59"/>
      <c r="H7" s="14">
        <v>45995</v>
      </c>
      <c r="I7" s="14">
        <v>46011</v>
      </c>
      <c r="J7" s="36">
        <v>46010</v>
      </c>
      <c r="K7" s="16">
        <v>1</v>
      </c>
      <c r="L7" s="17"/>
    </row>
    <row r="8" spans="1:12" ht="21" x14ac:dyDescent="0.6">
      <c r="A8" s="59" t="s">
        <v>66</v>
      </c>
      <c r="B8" s="59"/>
      <c r="C8" s="59"/>
      <c r="D8" s="59"/>
      <c r="E8" s="59"/>
      <c r="F8" s="59"/>
      <c r="G8" s="59"/>
      <c r="H8" s="14">
        <v>46012</v>
      </c>
      <c r="I8" s="14">
        <v>46066</v>
      </c>
      <c r="J8" s="36">
        <v>46066</v>
      </c>
      <c r="K8" s="16">
        <v>0</v>
      </c>
      <c r="L8" s="17"/>
    </row>
    <row r="9" spans="1:12" ht="20.399999999999999" x14ac:dyDescent="0.55000000000000004">
      <c r="A9" s="53" t="s">
        <v>44</v>
      </c>
      <c r="B9" s="54"/>
      <c r="C9" s="54"/>
      <c r="D9" s="54"/>
      <c r="E9" s="54"/>
      <c r="F9" s="54"/>
      <c r="G9" s="54"/>
      <c r="H9" s="61"/>
      <c r="I9" s="61"/>
      <c r="J9" s="54"/>
      <c r="K9" s="62"/>
      <c r="L9" s="55"/>
    </row>
    <row r="10" spans="1:12" ht="21" x14ac:dyDescent="0.6">
      <c r="A10" s="59" t="s">
        <v>66</v>
      </c>
      <c r="B10" s="59"/>
      <c r="C10" s="59"/>
      <c r="D10" s="59"/>
      <c r="E10" s="59"/>
      <c r="F10" s="59"/>
      <c r="G10" s="59"/>
      <c r="H10" s="14">
        <v>46012</v>
      </c>
      <c r="I10" s="14">
        <v>46066</v>
      </c>
      <c r="J10" s="36">
        <v>46066</v>
      </c>
      <c r="K10" s="16">
        <v>0</v>
      </c>
      <c r="L10" s="17"/>
    </row>
    <row r="11" spans="1:12" ht="20.399999999999999" x14ac:dyDescent="0.55000000000000004">
      <c r="A11" s="53" t="s">
        <v>45</v>
      </c>
      <c r="B11" s="54"/>
      <c r="C11" s="54"/>
      <c r="D11" s="54"/>
      <c r="E11" s="54"/>
      <c r="F11" s="54"/>
      <c r="G11" s="54"/>
      <c r="H11" s="61"/>
      <c r="I11" s="61"/>
      <c r="J11" s="54"/>
      <c r="K11" s="62"/>
      <c r="L11" s="55"/>
    </row>
    <row r="12" spans="1:12" ht="21" x14ac:dyDescent="0.6">
      <c r="A12" s="59" t="s">
        <v>66</v>
      </c>
      <c r="B12" s="59"/>
      <c r="C12" s="59"/>
      <c r="D12" s="59"/>
      <c r="E12" s="59"/>
      <c r="F12" s="59"/>
      <c r="G12" s="59"/>
      <c r="H12" s="14">
        <v>46012</v>
      </c>
      <c r="I12" s="14">
        <v>46066</v>
      </c>
      <c r="J12" s="36">
        <v>46066</v>
      </c>
      <c r="K12" s="16">
        <v>0</v>
      </c>
      <c r="L12" s="17"/>
    </row>
    <row r="13" spans="1:12" ht="21" x14ac:dyDescent="0.6">
      <c r="A13" s="59" t="s">
        <v>66</v>
      </c>
      <c r="B13" s="59"/>
      <c r="C13" s="59"/>
      <c r="D13" s="59"/>
      <c r="E13" s="59"/>
      <c r="F13" s="59"/>
      <c r="G13" s="59"/>
      <c r="H13" s="14">
        <v>46012</v>
      </c>
      <c r="I13" s="14">
        <v>46066</v>
      </c>
      <c r="J13" s="36">
        <v>46066</v>
      </c>
      <c r="K13" s="16">
        <v>0</v>
      </c>
      <c r="L13" s="17"/>
    </row>
    <row r="14" spans="1:12" ht="20.399999999999999" x14ac:dyDescent="0.55000000000000004">
      <c r="A14" s="53" t="s">
        <v>46</v>
      </c>
      <c r="B14" s="54"/>
      <c r="C14" s="54"/>
      <c r="D14" s="54"/>
      <c r="E14" s="54"/>
      <c r="F14" s="54"/>
      <c r="G14" s="54"/>
      <c r="H14" s="61"/>
      <c r="I14" s="61"/>
      <c r="J14" s="54"/>
      <c r="K14" s="62"/>
      <c r="L14" s="55"/>
    </row>
    <row r="15" spans="1:12" ht="21" x14ac:dyDescent="0.6">
      <c r="A15" s="59" t="s">
        <v>67</v>
      </c>
      <c r="B15" s="59"/>
      <c r="C15" s="59"/>
      <c r="D15" s="59"/>
      <c r="E15" s="59"/>
      <c r="F15" s="59"/>
      <c r="G15" s="59"/>
      <c r="H15" s="14"/>
      <c r="I15" s="14"/>
      <c r="J15" s="15"/>
      <c r="K15" s="16"/>
      <c r="L15" s="17"/>
    </row>
    <row r="16" spans="1:12" ht="21" x14ac:dyDescent="0.6">
      <c r="A16" s="59"/>
      <c r="B16" s="59"/>
      <c r="C16" s="59"/>
      <c r="D16" s="59"/>
      <c r="E16" s="59"/>
      <c r="F16" s="59"/>
      <c r="G16" s="59"/>
      <c r="H16" s="14"/>
      <c r="I16" s="14"/>
      <c r="J16" s="15"/>
      <c r="K16" s="16"/>
      <c r="L16" s="17"/>
    </row>
    <row r="17" spans="1:12" ht="21" x14ac:dyDescent="0.6">
      <c r="A17" s="63"/>
      <c r="B17" s="63"/>
      <c r="C17" s="63"/>
      <c r="D17" s="63"/>
      <c r="E17" s="63"/>
      <c r="F17" s="63"/>
      <c r="G17" s="63"/>
      <c r="H17" s="18"/>
      <c r="I17" s="18"/>
      <c r="J17" s="19">
        <f>SUM(J7:J16)</f>
        <v>230274</v>
      </c>
      <c r="K17" s="20">
        <f>AVERAGE(K7:K16)</f>
        <v>0.2</v>
      </c>
      <c r="L17" s="21"/>
    </row>
  </sheetData>
  <mergeCells count="16">
    <mergeCell ref="A14:L14"/>
    <mergeCell ref="A15:G15"/>
    <mergeCell ref="A16:G16"/>
    <mergeCell ref="A17:G17"/>
    <mergeCell ref="A8:G8"/>
    <mergeCell ref="A9:L9"/>
    <mergeCell ref="A10:G10"/>
    <mergeCell ref="A11:L11"/>
    <mergeCell ref="A12:G12"/>
    <mergeCell ref="A13:G13"/>
    <mergeCell ref="A7:G7"/>
    <mergeCell ref="A1:G1"/>
    <mergeCell ref="B2:G2"/>
    <mergeCell ref="B3:G3"/>
    <mergeCell ref="A5:G5"/>
    <mergeCell ref="A6:L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6016-FDDC-4576-9E80-18EAC2CBB2D7}">
  <sheetPr>
    <tabColor theme="9" tint="0.59999389629810485"/>
  </sheetPr>
  <dimension ref="A1:L17"/>
  <sheetViews>
    <sheetView workbookViewId="0">
      <selection activeCell="A8" sqref="A8:G8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41" t="s">
        <v>35</v>
      </c>
      <c r="B1" s="42"/>
      <c r="C1" s="42"/>
      <c r="D1" s="42"/>
      <c r="E1" s="42"/>
      <c r="F1" s="42"/>
      <c r="G1" s="43"/>
      <c r="H1" s="7"/>
      <c r="I1" s="8"/>
      <c r="K1" s="10"/>
    </row>
    <row r="2" spans="1:12" ht="20.399999999999999" x14ac:dyDescent="0.55000000000000004">
      <c r="A2" s="11" t="s">
        <v>36</v>
      </c>
      <c r="B2" s="44" t="s">
        <v>31</v>
      </c>
      <c r="C2" s="45"/>
      <c r="D2" s="45"/>
      <c r="E2" s="45"/>
      <c r="F2" s="45"/>
      <c r="G2" s="46"/>
      <c r="H2" s="7"/>
      <c r="I2" s="8"/>
      <c r="K2" s="10"/>
    </row>
    <row r="3" spans="1:12" ht="20.399999999999999" x14ac:dyDescent="0.55000000000000004">
      <c r="A3" s="11" t="s">
        <v>37</v>
      </c>
      <c r="B3" s="47">
        <v>1</v>
      </c>
      <c r="C3" s="48"/>
      <c r="D3" s="48"/>
      <c r="E3" s="48"/>
      <c r="F3" s="48"/>
      <c r="G3" s="49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60" t="s">
        <v>38</v>
      </c>
      <c r="B5" s="60"/>
      <c r="C5" s="60"/>
      <c r="D5" s="60"/>
      <c r="E5" s="60"/>
      <c r="F5" s="60"/>
      <c r="G5" s="60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3" t="s">
        <v>43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5"/>
    </row>
    <row r="7" spans="1:12" ht="21" x14ac:dyDescent="0.6">
      <c r="A7" s="59" t="s">
        <v>60</v>
      </c>
      <c r="B7" s="59"/>
      <c r="C7" s="59"/>
      <c r="D7" s="59"/>
      <c r="E7" s="59"/>
      <c r="F7" s="59"/>
      <c r="G7" s="59"/>
      <c r="H7" s="14">
        <v>45995</v>
      </c>
      <c r="I7" s="14">
        <v>46011</v>
      </c>
      <c r="J7" s="36">
        <v>46010</v>
      </c>
      <c r="K7" s="16">
        <v>1</v>
      </c>
      <c r="L7" s="17"/>
    </row>
    <row r="8" spans="1:12" ht="21" x14ac:dyDescent="0.6">
      <c r="A8" s="59" t="s">
        <v>66</v>
      </c>
      <c r="B8" s="59"/>
      <c r="C8" s="59"/>
      <c r="D8" s="59"/>
      <c r="E8" s="59"/>
      <c r="F8" s="59"/>
      <c r="G8" s="59"/>
      <c r="H8" s="14">
        <v>46012</v>
      </c>
      <c r="I8" s="14">
        <v>46066</v>
      </c>
      <c r="J8" s="36">
        <v>46066</v>
      </c>
      <c r="K8" s="16">
        <v>0</v>
      </c>
      <c r="L8" s="17"/>
    </row>
    <row r="9" spans="1:12" ht="20.399999999999999" x14ac:dyDescent="0.55000000000000004">
      <c r="A9" s="53" t="s">
        <v>44</v>
      </c>
      <c r="B9" s="54"/>
      <c r="C9" s="54"/>
      <c r="D9" s="54"/>
      <c r="E9" s="54"/>
      <c r="F9" s="54"/>
      <c r="G9" s="54"/>
      <c r="H9" s="61"/>
      <c r="I9" s="61"/>
      <c r="J9" s="54"/>
      <c r="K9" s="62"/>
      <c r="L9" s="55"/>
    </row>
    <row r="10" spans="1:12" ht="21" x14ac:dyDescent="0.6">
      <c r="A10" s="59" t="s">
        <v>66</v>
      </c>
      <c r="B10" s="59"/>
      <c r="C10" s="59"/>
      <c r="D10" s="59"/>
      <c r="E10" s="59"/>
      <c r="F10" s="59"/>
      <c r="G10" s="59"/>
      <c r="H10" s="14">
        <v>46012</v>
      </c>
      <c r="I10" s="14">
        <v>46066</v>
      </c>
      <c r="J10" s="36">
        <v>46066</v>
      </c>
      <c r="K10" s="16">
        <v>0</v>
      </c>
      <c r="L10" s="17"/>
    </row>
    <row r="11" spans="1:12" ht="20.399999999999999" x14ac:dyDescent="0.55000000000000004">
      <c r="A11" s="53" t="s">
        <v>45</v>
      </c>
      <c r="B11" s="54"/>
      <c r="C11" s="54"/>
      <c r="D11" s="54"/>
      <c r="E11" s="54"/>
      <c r="F11" s="54"/>
      <c r="G11" s="54"/>
      <c r="H11" s="61"/>
      <c r="I11" s="61"/>
      <c r="J11" s="54"/>
      <c r="K11" s="62"/>
      <c r="L11" s="55"/>
    </row>
    <row r="12" spans="1:12" ht="21" x14ac:dyDescent="0.6">
      <c r="A12" s="59" t="s">
        <v>66</v>
      </c>
      <c r="B12" s="59"/>
      <c r="C12" s="59"/>
      <c r="D12" s="59"/>
      <c r="E12" s="59"/>
      <c r="F12" s="59"/>
      <c r="G12" s="59"/>
      <c r="H12" s="14">
        <v>46012</v>
      </c>
      <c r="I12" s="14">
        <v>46066</v>
      </c>
      <c r="J12" s="36">
        <v>46066</v>
      </c>
      <c r="K12" s="16">
        <v>0</v>
      </c>
      <c r="L12" s="17"/>
    </row>
    <row r="13" spans="1:12" ht="21" x14ac:dyDescent="0.6">
      <c r="A13" s="59" t="s">
        <v>66</v>
      </c>
      <c r="B13" s="59"/>
      <c r="C13" s="59"/>
      <c r="D13" s="59"/>
      <c r="E13" s="59"/>
      <c r="F13" s="59"/>
      <c r="G13" s="59"/>
      <c r="H13" s="14">
        <v>46012</v>
      </c>
      <c r="I13" s="14">
        <v>46066</v>
      </c>
      <c r="J13" s="36">
        <v>46066</v>
      </c>
      <c r="K13" s="16">
        <v>0</v>
      </c>
      <c r="L13" s="17"/>
    </row>
    <row r="14" spans="1:12" ht="20.399999999999999" x14ac:dyDescent="0.55000000000000004">
      <c r="A14" s="53" t="s">
        <v>46</v>
      </c>
      <c r="B14" s="54"/>
      <c r="C14" s="54"/>
      <c r="D14" s="54"/>
      <c r="E14" s="54"/>
      <c r="F14" s="54"/>
      <c r="G14" s="54"/>
      <c r="H14" s="61"/>
      <c r="I14" s="61"/>
      <c r="J14" s="54"/>
      <c r="K14" s="62"/>
      <c r="L14" s="55"/>
    </row>
    <row r="15" spans="1:12" ht="21" x14ac:dyDescent="0.6">
      <c r="A15" s="59" t="s">
        <v>67</v>
      </c>
      <c r="B15" s="59"/>
      <c r="C15" s="59"/>
      <c r="D15" s="59"/>
      <c r="E15" s="59"/>
      <c r="F15" s="59"/>
      <c r="G15" s="59"/>
      <c r="H15" s="14"/>
      <c r="I15" s="14"/>
      <c r="J15" s="15"/>
      <c r="K15" s="16"/>
      <c r="L15" s="17"/>
    </row>
    <row r="16" spans="1:12" ht="21" x14ac:dyDescent="0.6">
      <c r="A16" s="59"/>
      <c r="B16" s="59"/>
      <c r="C16" s="59"/>
      <c r="D16" s="59"/>
      <c r="E16" s="59"/>
      <c r="F16" s="59"/>
      <c r="G16" s="59"/>
      <c r="H16" s="14"/>
      <c r="I16" s="14"/>
      <c r="J16" s="15"/>
      <c r="K16" s="16"/>
      <c r="L16" s="17"/>
    </row>
    <row r="17" spans="1:12" ht="21" x14ac:dyDescent="0.6">
      <c r="A17" s="63"/>
      <c r="B17" s="63"/>
      <c r="C17" s="63"/>
      <c r="D17" s="63"/>
      <c r="E17" s="63"/>
      <c r="F17" s="63"/>
      <c r="G17" s="63"/>
      <c r="H17" s="18"/>
      <c r="I17" s="18"/>
      <c r="J17" s="19">
        <f>SUM(J7:J16)</f>
        <v>230274</v>
      </c>
      <c r="K17" s="20">
        <f>AVERAGE(K7:K16)</f>
        <v>0.2</v>
      </c>
      <c r="L17" s="21"/>
    </row>
  </sheetData>
  <mergeCells count="16">
    <mergeCell ref="A14:L14"/>
    <mergeCell ref="A15:G15"/>
    <mergeCell ref="A16:G16"/>
    <mergeCell ref="A17:G17"/>
    <mergeCell ref="A8:G8"/>
    <mergeCell ref="A9:L9"/>
    <mergeCell ref="A10:G10"/>
    <mergeCell ref="A11:L11"/>
    <mergeCell ref="A12:G12"/>
    <mergeCell ref="A13:G13"/>
    <mergeCell ref="A7:G7"/>
    <mergeCell ref="A1:G1"/>
    <mergeCell ref="B2:G2"/>
    <mergeCell ref="B3:G3"/>
    <mergeCell ref="A5:G5"/>
    <mergeCell ref="A6: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41A7-C961-4714-ACBD-52A6B9A6A8AF}">
  <sheetPr>
    <tabColor theme="8" tint="0.59999389629810485"/>
  </sheetPr>
  <dimension ref="A2:L34"/>
  <sheetViews>
    <sheetView workbookViewId="0">
      <selection activeCell="F7" sqref="F7"/>
    </sheetView>
  </sheetViews>
  <sheetFormatPr defaultRowHeight="16.8" x14ac:dyDescent="0.4"/>
  <cols>
    <col min="2" max="2" width="31.69921875" bestFit="1" customWidth="1"/>
    <col min="4" max="5" width="12.09765625" customWidth="1"/>
    <col min="6" max="6" width="8.796875" style="28"/>
    <col min="7" max="7" width="25.5" customWidth="1"/>
  </cols>
  <sheetData>
    <row r="2" spans="1:12" x14ac:dyDescent="0.4">
      <c r="A2" t="s">
        <v>50</v>
      </c>
    </row>
    <row r="3" spans="1:12" x14ac:dyDescent="0.4">
      <c r="A3" s="6" t="s">
        <v>14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9</v>
      </c>
      <c r="G3" s="6" t="s">
        <v>23</v>
      </c>
    </row>
    <row r="4" spans="1:12" x14ac:dyDescent="0.4">
      <c r="A4" s="24">
        <v>1</v>
      </c>
      <c r="B4" s="29" t="s">
        <v>48</v>
      </c>
      <c r="C4" s="6">
        <v>8</v>
      </c>
      <c r="D4" s="34">
        <v>45985</v>
      </c>
      <c r="E4" s="34">
        <v>45964</v>
      </c>
      <c r="F4" s="35">
        <v>1</v>
      </c>
      <c r="G4" s="5"/>
      <c r="H4" s="31"/>
      <c r="I4" s="32"/>
      <c r="J4" s="28"/>
      <c r="K4" s="27"/>
      <c r="L4" s="27"/>
    </row>
    <row r="5" spans="1:12" x14ac:dyDescent="0.4">
      <c r="A5" s="6">
        <v>2</v>
      </c>
      <c r="B5" s="5" t="s">
        <v>24</v>
      </c>
      <c r="C5" s="6">
        <v>10</v>
      </c>
      <c r="D5" s="34">
        <v>45995</v>
      </c>
      <c r="E5" s="34">
        <v>46010</v>
      </c>
      <c r="F5" s="35">
        <v>1</v>
      </c>
      <c r="G5" s="5"/>
      <c r="H5" s="28"/>
      <c r="J5" s="28"/>
      <c r="K5" s="27"/>
      <c r="L5" s="27"/>
    </row>
    <row r="6" spans="1:12" x14ac:dyDescent="0.4">
      <c r="A6" s="6">
        <v>3</v>
      </c>
      <c r="B6" s="5" t="s">
        <v>25</v>
      </c>
      <c r="C6" s="6">
        <v>1</v>
      </c>
      <c r="D6" s="34">
        <v>46010</v>
      </c>
      <c r="E6" s="34">
        <v>46010</v>
      </c>
      <c r="F6" s="35">
        <v>1</v>
      </c>
      <c r="G6" s="5"/>
      <c r="H6" s="28"/>
      <c r="J6" s="28"/>
      <c r="K6" s="27"/>
      <c r="L6" s="27"/>
    </row>
    <row r="7" spans="1:12" x14ac:dyDescent="0.4">
      <c r="A7" s="6">
        <v>4</v>
      </c>
      <c r="B7" s="5" t="s">
        <v>26</v>
      </c>
      <c r="C7" s="6">
        <v>36</v>
      </c>
      <c r="D7" s="34">
        <v>46013</v>
      </c>
      <c r="E7" s="34">
        <v>46066</v>
      </c>
      <c r="F7" s="35">
        <f>AVERAGE(F8:F10)</f>
        <v>0</v>
      </c>
      <c r="G7" s="5"/>
      <c r="H7" s="28"/>
      <c r="J7" s="28"/>
      <c r="K7" s="27"/>
      <c r="L7" s="27"/>
    </row>
    <row r="8" spans="1:12" x14ac:dyDescent="0.4">
      <c r="A8" s="6"/>
      <c r="B8" s="30" t="s">
        <v>32</v>
      </c>
      <c r="C8" s="6"/>
      <c r="D8" s="34"/>
      <c r="E8" s="34"/>
      <c r="F8" s="35">
        <v>0</v>
      </c>
      <c r="G8" s="5"/>
      <c r="H8" s="28"/>
      <c r="I8" s="33"/>
      <c r="J8" s="28"/>
      <c r="K8" s="27"/>
      <c r="L8" s="27"/>
    </row>
    <row r="9" spans="1:12" x14ac:dyDescent="0.4">
      <c r="A9" s="6"/>
      <c r="B9" s="30" t="s">
        <v>34</v>
      </c>
      <c r="C9" s="6"/>
      <c r="D9" s="34"/>
      <c r="E9" s="34"/>
      <c r="F9" s="35">
        <v>0</v>
      </c>
      <c r="G9" s="5"/>
      <c r="H9" s="28"/>
      <c r="I9" s="33"/>
      <c r="J9" s="28"/>
      <c r="K9" s="27"/>
      <c r="L9" s="27"/>
    </row>
    <row r="10" spans="1:12" x14ac:dyDescent="0.4">
      <c r="A10" s="6"/>
      <c r="B10" s="30" t="s">
        <v>33</v>
      </c>
      <c r="C10" s="6"/>
      <c r="D10" s="34"/>
      <c r="E10" s="34"/>
      <c r="F10" s="35">
        <v>0</v>
      </c>
      <c r="G10" s="5"/>
      <c r="H10" s="28"/>
      <c r="I10" s="33"/>
      <c r="J10" s="28"/>
      <c r="K10" s="27"/>
      <c r="L10" s="27"/>
    </row>
    <row r="11" spans="1:12" x14ac:dyDescent="0.4">
      <c r="A11" s="6">
        <v>5</v>
      </c>
      <c r="B11" s="5" t="s">
        <v>27</v>
      </c>
      <c r="C11" s="6">
        <v>5</v>
      </c>
      <c r="D11" s="34">
        <v>46069</v>
      </c>
      <c r="E11" s="34">
        <v>46073</v>
      </c>
      <c r="F11" s="35">
        <v>0</v>
      </c>
      <c r="G11" s="5"/>
      <c r="H11" s="28"/>
      <c r="J11" s="28"/>
      <c r="K11" s="27"/>
      <c r="L11" s="27"/>
    </row>
    <row r="12" spans="1:12" x14ac:dyDescent="0.4">
      <c r="A12" s="6">
        <v>6</v>
      </c>
      <c r="B12" s="5" t="s">
        <v>28</v>
      </c>
      <c r="C12" s="6">
        <v>5</v>
      </c>
      <c r="D12" s="34">
        <v>46076</v>
      </c>
      <c r="E12" s="34">
        <v>46080</v>
      </c>
      <c r="F12" s="35">
        <v>0</v>
      </c>
      <c r="G12" s="5"/>
      <c r="H12" s="28"/>
      <c r="J12" s="28"/>
      <c r="K12" s="27"/>
      <c r="L12" s="27"/>
    </row>
    <row r="13" spans="1:12" x14ac:dyDescent="0.4">
      <c r="A13" s="6">
        <v>7</v>
      </c>
      <c r="B13" s="5" t="s">
        <v>47</v>
      </c>
      <c r="C13" s="6">
        <v>2</v>
      </c>
      <c r="D13" s="34">
        <v>46083</v>
      </c>
      <c r="E13" s="34">
        <v>46084</v>
      </c>
      <c r="F13" s="35">
        <v>0</v>
      </c>
      <c r="G13" s="5"/>
      <c r="H13" s="28"/>
      <c r="J13" s="28"/>
      <c r="K13" s="27"/>
      <c r="L13" s="27"/>
    </row>
    <row r="14" spans="1:12" x14ac:dyDescent="0.4">
      <c r="A14" s="6">
        <v>8</v>
      </c>
      <c r="B14" s="5" t="s">
        <v>29</v>
      </c>
      <c r="C14" s="6"/>
      <c r="D14" s="34">
        <v>46086</v>
      </c>
      <c r="E14" s="34">
        <v>46086</v>
      </c>
      <c r="F14" s="35">
        <v>0</v>
      </c>
      <c r="G14" s="5"/>
      <c r="H14" s="28"/>
      <c r="J14" s="28"/>
      <c r="K14" s="27"/>
      <c r="L14" s="27"/>
    </row>
    <row r="15" spans="1:12" x14ac:dyDescent="0.4">
      <c r="A15" s="28"/>
      <c r="D15" s="27"/>
      <c r="E15" s="27"/>
      <c r="H15" s="28"/>
      <c r="J15" s="28"/>
      <c r="K15" s="27"/>
      <c r="L15" s="27"/>
    </row>
    <row r="16" spans="1:12" x14ac:dyDescent="0.4">
      <c r="H16" s="28"/>
      <c r="J16" s="28"/>
      <c r="K16" s="27"/>
      <c r="L16" s="27"/>
    </row>
    <row r="17" spans="1:12" x14ac:dyDescent="0.4">
      <c r="H17" s="28"/>
      <c r="J17" s="28"/>
      <c r="K17" s="27"/>
      <c r="L17" s="27"/>
    </row>
    <row r="18" spans="1:12" x14ac:dyDescent="0.4">
      <c r="H18" s="28"/>
      <c r="J18" s="28"/>
      <c r="K18" s="27"/>
      <c r="L18" s="27"/>
    </row>
    <row r="19" spans="1:12" x14ac:dyDescent="0.4">
      <c r="A19" s="28"/>
      <c r="D19" s="27"/>
      <c r="E19" s="27"/>
    </row>
    <row r="20" spans="1:12" x14ac:dyDescent="0.4">
      <c r="A20" s="28"/>
      <c r="D20" s="27"/>
      <c r="E20" s="27"/>
    </row>
    <row r="21" spans="1:12" x14ac:dyDescent="0.4">
      <c r="A21" s="28"/>
    </row>
    <row r="22" spans="1:12" x14ac:dyDescent="0.4">
      <c r="A22" s="28"/>
    </row>
    <row r="23" spans="1:12" x14ac:dyDescent="0.4">
      <c r="A23" s="28"/>
    </row>
    <row r="24" spans="1:12" x14ac:dyDescent="0.4">
      <c r="A24" s="28"/>
    </row>
    <row r="29" spans="1:12" x14ac:dyDescent="0.4">
      <c r="A29" s="28"/>
      <c r="D29" s="27"/>
      <c r="E29" s="27"/>
    </row>
    <row r="30" spans="1:12" x14ac:dyDescent="0.4">
      <c r="A30" s="28"/>
      <c r="D30" s="27"/>
      <c r="E30" s="27"/>
    </row>
    <row r="31" spans="1:12" x14ac:dyDescent="0.4">
      <c r="A31" s="28"/>
    </row>
    <row r="32" spans="1:12" x14ac:dyDescent="0.4">
      <c r="A32" s="28"/>
    </row>
    <row r="33" spans="1:1" x14ac:dyDescent="0.4">
      <c r="A33" s="28"/>
    </row>
    <row r="34" spans="1:1" x14ac:dyDescent="0.4">
      <c r="A34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FB44-6C51-43C5-BD88-41FB16328B4C}">
  <sheetPr>
    <tabColor theme="8" tint="0.59999389629810485"/>
  </sheetPr>
  <dimension ref="A1:L17"/>
  <sheetViews>
    <sheetView workbookViewId="0">
      <selection activeCell="J7" sqref="J7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41" t="s">
        <v>35</v>
      </c>
      <c r="B1" s="42"/>
      <c r="C1" s="42"/>
      <c r="D1" s="42"/>
      <c r="E1" s="42"/>
      <c r="F1" s="42"/>
      <c r="G1" s="43"/>
      <c r="H1" s="7"/>
      <c r="I1" s="8"/>
      <c r="K1" s="10"/>
    </row>
    <row r="2" spans="1:12" ht="20.399999999999999" x14ac:dyDescent="0.55000000000000004">
      <c r="A2" s="11" t="s">
        <v>36</v>
      </c>
      <c r="B2" s="44" t="s">
        <v>32</v>
      </c>
      <c r="C2" s="45"/>
      <c r="D2" s="45"/>
      <c r="E2" s="45"/>
      <c r="F2" s="45"/>
      <c r="G2" s="46"/>
      <c r="H2" s="7"/>
      <c r="I2" s="8"/>
      <c r="K2" s="10"/>
    </row>
    <row r="3" spans="1:12" ht="20.399999999999999" x14ac:dyDescent="0.55000000000000004">
      <c r="A3" s="11" t="s">
        <v>37</v>
      </c>
      <c r="B3" s="47">
        <v>1</v>
      </c>
      <c r="C3" s="48"/>
      <c r="D3" s="48"/>
      <c r="E3" s="48"/>
      <c r="F3" s="48"/>
      <c r="G3" s="49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60" t="s">
        <v>38</v>
      </c>
      <c r="B5" s="60"/>
      <c r="C5" s="60"/>
      <c r="D5" s="60"/>
      <c r="E5" s="60"/>
      <c r="F5" s="60"/>
      <c r="G5" s="60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3" t="s">
        <v>43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5"/>
    </row>
    <row r="7" spans="1:12" ht="21" x14ac:dyDescent="0.6">
      <c r="A7" s="59"/>
      <c r="B7" s="59"/>
      <c r="C7" s="59"/>
      <c r="D7" s="59"/>
      <c r="E7" s="59"/>
      <c r="F7" s="59"/>
      <c r="G7" s="59"/>
      <c r="H7" s="14"/>
      <c r="I7" s="14"/>
      <c r="J7" s="15">
        <v>1</v>
      </c>
      <c r="K7" s="16"/>
      <c r="L7" s="17"/>
    </row>
    <row r="8" spans="1:12" ht="21" x14ac:dyDescent="0.6">
      <c r="A8" s="59"/>
      <c r="B8" s="59"/>
      <c r="C8" s="59"/>
      <c r="D8" s="59"/>
      <c r="E8" s="59"/>
      <c r="F8" s="59"/>
      <c r="G8" s="59"/>
      <c r="H8" s="14"/>
      <c r="I8" s="14"/>
      <c r="J8" s="15"/>
      <c r="K8" s="16"/>
      <c r="L8" s="17"/>
    </row>
    <row r="9" spans="1:12" ht="20.399999999999999" x14ac:dyDescent="0.55000000000000004">
      <c r="A9" s="53" t="s">
        <v>44</v>
      </c>
      <c r="B9" s="54"/>
      <c r="C9" s="54"/>
      <c r="D9" s="54"/>
      <c r="E9" s="54"/>
      <c r="F9" s="54"/>
      <c r="G9" s="54"/>
      <c r="H9" s="61"/>
      <c r="I9" s="61"/>
      <c r="J9" s="54"/>
      <c r="K9" s="62"/>
      <c r="L9" s="55"/>
    </row>
    <row r="10" spans="1:12" ht="21" x14ac:dyDescent="0.6">
      <c r="A10" s="59"/>
      <c r="B10" s="59"/>
      <c r="C10" s="59"/>
      <c r="D10" s="59"/>
      <c r="E10" s="59"/>
      <c r="F10" s="59"/>
      <c r="G10" s="59"/>
      <c r="H10" s="14"/>
      <c r="I10" s="14"/>
      <c r="J10" s="15"/>
      <c r="K10" s="16"/>
      <c r="L10" s="17"/>
    </row>
    <row r="11" spans="1:12" ht="20.399999999999999" x14ac:dyDescent="0.55000000000000004">
      <c r="A11" s="53" t="s">
        <v>45</v>
      </c>
      <c r="B11" s="54"/>
      <c r="C11" s="54"/>
      <c r="D11" s="54"/>
      <c r="E11" s="54"/>
      <c r="F11" s="54"/>
      <c r="G11" s="54"/>
      <c r="H11" s="61"/>
      <c r="I11" s="61"/>
      <c r="J11" s="54"/>
      <c r="K11" s="62"/>
      <c r="L11" s="55"/>
    </row>
    <row r="12" spans="1:12" ht="21" x14ac:dyDescent="0.6">
      <c r="A12" s="59"/>
      <c r="B12" s="59"/>
      <c r="C12" s="59"/>
      <c r="D12" s="59"/>
      <c r="E12" s="59"/>
      <c r="F12" s="59"/>
      <c r="G12" s="59"/>
      <c r="H12" s="14"/>
      <c r="I12" s="14"/>
      <c r="J12" s="15"/>
      <c r="K12" s="16"/>
      <c r="L12" s="17"/>
    </row>
    <row r="13" spans="1:12" ht="21" x14ac:dyDescent="0.6">
      <c r="A13" s="59"/>
      <c r="B13" s="59"/>
      <c r="C13" s="59"/>
      <c r="D13" s="59"/>
      <c r="E13" s="59"/>
      <c r="F13" s="59"/>
      <c r="G13" s="59"/>
      <c r="H13" s="14"/>
      <c r="I13" s="14"/>
      <c r="J13" s="15"/>
      <c r="K13" s="16"/>
      <c r="L13" s="17"/>
    </row>
    <row r="14" spans="1:12" ht="20.399999999999999" x14ac:dyDescent="0.55000000000000004">
      <c r="A14" s="53" t="s">
        <v>46</v>
      </c>
      <c r="B14" s="54"/>
      <c r="C14" s="54"/>
      <c r="D14" s="54"/>
      <c r="E14" s="54"/>
      <c r="F14" s="54"/>
      <c r="G14" s="54"/>
      <c r="H14" s="61"/>
      <c r="I14" s="61"/>
      <c r="J14" s="54"/>
      <c r="K14" s="62"/>
      <c r="L14" s="55"/>
    </row>
    <row r="15" spans="1:12" ht="21" x14ac:dyDescent="0.6">
      <c r="A15" s="59"/>
      <c r="B15" s="59"/>
      <c r="C15" s="59"/>
      <c r="D15" s="59"/>
      <c r="E15" s="59"/>
      <c r="F15" s="59"/>
      <c r="G15" s="59"/>
      <c r="H15" s="14"/>
      <c r="I15" s="14"/>
      <c r="J15" s="15"/>
      <c r="K15" s="16"/>
      <c r="L15" s="17"/>
    </row>
    <row r="16" spans="1:12" ht="21" x14ac:dyDescent="0.6">
      <c r="A16" s="59"/>
      <c r="B16" s="59"/>
      <c r="C16" s="59"/>
      <c r="D16" s="59"/>
      <c r="E16" s="59"/>
      <c r="F16" s="59"/>
      <c r="G16" s="59"/>
      <c r="H16" s="14"/>
      <c r="I16" s="14"/>
      <c r="J16" s="15"/>
      <c r="K16" s="16"/>
      <c r="L16" s="17"/>
    </row>
    <row r="17" spans="1:12" ht="21" x14ac:dyDescent="0.6">
      <c r="A17" s="63"/>
      <c r="B17" s="63"/>
      <c r="C17" s="63"/>
      <c r="D17" s="63"/>
      <c r="E17" s="63"/>
      <c r="F17" s="63"/>
      <c r="G17" s="63"/>
      <c r="H17" s="18"/>
      <c r="I17" s="18"/>
      <c r="J17" s="19">
        <f>SUM(J7:J16)</f>
        <v>1</v>
      </c>
      <c r="K17" s="20" t="e">
        <f>AVERAGE(K7:K16)</f>
        <v>#DIV/0!</v>
      </c>
      <c r="L17" s="21"/>
    </row>
  </sheetData>
  <mergeCells count="16">
    <mergeCell ref="A14:L14"/>
    <mergeCell ref="A15:G15"/>
    <mergeCell ref="A16:G16"/>
    <mergeCell ref="A17:G17"/>
    <mergeCell ref="A8:G8"/>
    <mergeCell ref="A9:L9"/>
    <mergeCell ref="A10:G10"/>
    <mergeCell ref="A11:L11"/>
    <mergeCell ref="A12:G12"/>
    <mergeCell ref="A13:G13"/>
    <mergeCell ref="A7:G7"/>
    <mergeCell ref="A1:G1"/>
    <mergeCell ref="B2:G2"/>
    <mergeCell ref="B3:G3"/>
    <mergeCell ref="A5:G5"/>
    <mergeCell ref="A6:L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E744-758E-4815-88AD-7AFA77A29021}">
  <sheetPr>
    <tabColor theme="8" tint="0.59999389629810485"/>
  </sheetPr>
  <dimension ref="A1:L17"/>
  <sheetViews>
    <sheetView workbookViewId="0">
      <selection activeCell="O10" sqref="O10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41" t="s">
        <v>35</v>
      </c>
      <c r="B1" s="42"/>
      <c r="C1" s="42"/>
      <c r="D1" s="42"/>
      <c r="E1" s="42"/>
      <c r="F1" s="42"/>
      <c r="G1" s="43"/>
      <c r="H1" s="7"/>
      <c r="I1" s="8"/>
      <c r="K1" s="10"/>
    </row>
    <row r="2" spans="1:12" ht="20.399999999999999" x14ac:dyDescent="0.55000000000000004">
      <c r="A2" s="11" t="s">
        <v>36</v>
      </c>
      <c r="B2" s="44" t="s">
        <v>34</v>
      </c>
      <c r="C2" s="45"/>
      <c r="D2" s="45"/>
      <c r="E2" s="45"/>
      <c r="F2" s="45"/>
      <c r="G2" s="46"/>
      <c r="H2" s="7"/>
      <c r="I2" s="8"/>
      <c r="K2" s="10"/>
    </row>
    <row r="3" spans="1:12" ht="20.399999999999999" x14ac:dyDescent="0.55000000000000004">
      <c r="A3" s="11" t="s">
        <v>37</v>
      </c>
      <c r="B3" s="47">
        <v>1</v>
      </c>
      <c r="C3" s="48"/>
      <c r="D3" s="48"/>
      <c r="E3" s="48"/>
      <c r="F3" s="48"/>
      <c r="G3" s="49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60" t="s">
        <v>38</v>
      </c>
      <c r="B5" s="60"/>
      <c r="C5" s="60"/>
      <c r="D5" s="60"/>
      <c r="E5" s="60"/>
      <c r="F5" s="60"/>
      <c r="G5" s="60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3" t="s">
        <v>43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5"/>
    </row>
    <row r="7" spans="1:12" ht="21" x14ac:dyDescent="0.6">
      <c r="A7" s="59"/>
      <c r="B7" s="59"/>
      <c r="C7" s="59"/>
      <c r="D7" s="59"/>
      <c r="E7" s="59"/>
      <c r="F7" s="59"/>
      <c r="G7" s="59"/>
      <c r="H7" s="14"/>
      <c r="I7" s="14"/>
      <c r="J7" s="15"/>
      <c r="K7" s="16"/>
      <c r="L7" s="17"/>
    </row>
    <row r="8" spans="1:12" ht="21" x14ac:dyDescent="0.6">
      <c r="A8" s="59"/>
      <c r="B8" s="59"/>
      <c r="C8" s="59"/>
      <c r="D8" s="59"/>
      <c r="E8" s="59"/>
      <c r="F8" s="59"/>
      <c r="G8" s="59"/>
      <c r="H8" s="14"/>
      <c r="I8" s="14"/>
      <c r="J8" s="15"/>
      <c r="K8" s="16"/>
      <c r="L8" s="17"/>
    </row>
    <row r="9" spans="1:12" ht="20.399999999999999" x14ac:dyDescent="0.55000000000000004">
      <c r="A9" s="53" t="s">
        <v>44</v>
      </c>
      <c r="B9" s="54"/>
      <c r="C9" s="54"/>
      <c r="D9" s="54"/>
      <c r="E9" s="54"/>
      <c r="F9" s="54"/>
      <c r="G9" s="54"/>
      <c r="H9" s="61"/>
      <c r="I9" s="61"/>
      <c r="J9" s="54"/>
      <c r="K9" s="62"/>
      <c r="L9" s="55"/>
    </row>
    <row r="10" spans="1:12" ht="21" x14ac:dyDescent="0.6">
      <c r="A10" s="59"/>
      <c r="B10" s="59"/>
      <c r="C10" s="59"/>
      <c r="D10" s="59"/>
      <c r="E10" s="59"/>
      <c r="F10" s="59"/>
      <c r="G10" s="59"/>
      <c r="H10" s="14"/>
      <c r="I10" s="14"/>
      <c r="J10" s="15"/>
      <c r="K10" s="16"/>
      <c r="L10" s="17"/>
    </row>
    <row r="11" spans="1:12" ht="20.399999999999999" x14ac:dyDescent="0.55000000000000004">
      <c r="A11" s="53" t="s">
        <v>45</v>
      </c>
      <c r="B11" s="54"/>
      <c r="C11" s="54"/>
      <c r="D11" s="54"/>
      <c r="E11" s="54"/>
      <c r="F11" s="54"/>
      <c r="G11" s="54"/>
      <c r="H11" s="61"/>
      <c r="I11" s="61"/>
      <c r="J11" s="54"/>
      <c r="K11" s="62"/>
      <c r="L11" s="55"/>
    </row>
    <row r="12" spans="1:12" ht="21" x14ac:dyDescent="0.6">
      <c r="A12" s="59"/>
      <c r="B12" s="59"/>
      <c r="C12" s="59"/>
      <c r="D12" s="59"/>
      <c r="E12" s="59"/>
      <c r="F12" s="59"/>
      <c r="G12" s="59"/>
      <c r="H12" s="14"/>
      <c r="I12" s="14"/>
      <c r="J12" s="15"/>
      <c r="K12" s="16"/>
      <c r="L12" s="17"/>
    </row>
    <row r="13" spans="1:12" ht="21" x14ac:dyDescent="0.6">
      <c r="A13" s="59"/>
      <c r="B13" s="59"/>
      <c r="C13" s="59"/>
      <c r="D13" s="59"/>
      <c r="E13" s="59"/>
      <c r="F13" s="59"/>
      <c r="G13" s="59"/>
      <c r="H13" s="14"/>
      <c r="I13" s="14"/>
      <c r="J13" s="15"/>
      <c r="K13" s="16"/>
      <c r="L13" s="17"/>
    </row>
    <row r="14" spans="1:12" ht="20.399999999999999" x14ac:dyDescent="0.55000000000000004">
      <c r="A14" s="53" t="s">
        <v>46</v>
      </c>
      <c r="B14" s="54"/>
      <c r="C14" s="54"/>
      <c r="D14" s="54"/>
      <c r="E14" s="54"/>
      <c r="F14" s="54"/>
      <c r="G14" s="54"/>
      <c r="H14" s="61"/>
      <c r="I14" s="61"/>
      <c r="J14" s="54"/>
      <c r="K14" s="62"/>
      <c r="L14" s="55"/>
    </row>
    <row r="15" spans="1:12" ht="21" x14ac:dyDescent="0.6">
      <c r="A15" s="59"/>
      <c r="B15" s="59"/>
      <c r="C15" s="59"/>
      <c r="D15" s="59"/>
      <c r="E15" s="59"/>
      <c r="F15" s="59"/>
      <c r="G15" s="59"/>
      <c r="H15" s="14"/>
      <c r="I15" s="14"/>
      <c r="J15" s="15"/>
      <c r="K15" s="16"/>
      <c r="L15" s="17"/>
    </row>
    <row r="16" spans="1:12" ht="21" x14ac:dyDescent="0.6">
      <c r="A16" s="59"/>
      <c r="B16" s="59"/>
      <c r="C16" s="59"/>
      <c r="D16" s="59"/>
      <c r="E16" s="59"/>
      <c r="F16" s="59"/>
      <c r="G16" s="59"/>
      <c r="H16" s="14"/>
      <c r="I16" s="14"/>
      <c r="J16" s="15"/>
      <c r="K16" s="16"/>
      <c r="L16" s="17"/>
    </row>
    <row r="17" spans="1:12" ht="21" x14ac:dyDescent="0.6">
      <c r="A17" s="63"/>
      <c r="B17" s="63"/>
      <c r="C17" s="63"/>
      <c r="D17" s="63"/>
      <c r="E17" s="63"/>
      <c r="F17" s="63"/>
      <c r="G17" s="63"/>
      <c r="H17" s="18"/>
      <c r="I17" s="18"/>
      <c r="J17" s="19">
        <f>SUM(J7:J16)</f>
        <v>0</v>
      </c>
      <c r="K17" s="20" t="e">
        <f>AVERAGE(K7:K16)</f>
        <v>#DIV/0!</v>
      </c>
      <c r="L17" s="21"/>
    </row>
  </sheetData>
  <mergeCells count="16">
    <mergeCell ref="A14:L14"/>
    <mergeCell ref="A15:G15"/>
    <mergeCell ref="A16:G16"/>
    <mergeCell ref="A17:G17"/>
    <mergeCell ref="A8:G8"/>
    <mergeCell ref="A9:L9"/>
    <mergeCell ref="A10:G10"/>
    <mergeCell ref="A11:L11"/>
    <mergeCell ref="A12:G12"/>
    <mergeCell ref="A13:G13"/>
    <mergeCell ref="A7:G7"/>
    <mergeCell ref="A1:G1"/>
    <mergeCell ref="B2:G2"/>
    <mergeCell ref="B3:G3"/>
    <mergeCell ref="A5:G5"/>
    <mergeCell ref="A6:L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420A-6D1A-4206-B07A-4AE720272C8D}">
  <sheetPr>
    <tabColor theme="8" tint="0.59999389629810485"/>
  </sheetPr>
  <dimension ref="A1:L17"/>
  <sheetViews>
    <sheetView workbookViewId="0">
      <selection activeCell="J21" sqref="J21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41" t="s">
        <v>35</v>
      </c>
      <c r="B1" s="42"/>
      <c r="C1" s="42"/>
      <c r="D1" s="42"/>
      <c r="E1" s="42"/>
      <c r="F1" s="42"/>
      <c r="G1" s="43"/>
      <c r="H1" s="7"/>
      <c r="I1" s="8"/>
      <c r="K1" s="10"/>
    </row>
    <row r="2" spans="1:12" ht="20.399999999999999" x14ac:dyDescent="0.55000000000000004">
      <c r="A2" s="11" t="s">
        <v>36</v>
      </c>
      <c r="B2" s="44" t="s">
        <v>33</v>
      </c>
      <c r="C2" s="45"/>
      <c r="D2" s="45"/>
      <c r="E2" s="45"/>
      <c r="F2" s="45"/>
      <c r="G2" s="46"/>
      <c r="H2" s="7"/>
      <c r="I2" s="8"/>
      <c r="K2" s="10"/>
    </row>
    <row r="3" spans="1:12" ht="20.399999999999999" x14ac:dyDescent="0.55000000000000004">
      <c r="A3" s="11" t="s">
        <v>37</v>
      </c>
      <c r="B3" s="47">
        <v>1</v>
      </c>
      <c r="C3" s="48"/>
      <c r="D3" s="48"/>
      <c r="E3" s="48"/>
      <c r="F3" s="48"/>
      <c r="G3" s="49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60" t="s">
        <v>38</v>
      </c>
      <c r="B5" s="60"/>
      <c r="C5" s="60"/>
      <c r="D5" s="60"/>
      <c r="E5" s="60"/>
      <c r="F5" s="60"/>
      <c r="G5" s="60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3" t="s">
        <v>43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5"/>
    </row>
    <row r="7" spans="1:12" ht="21" x14ac:dyDescent="0.6">
      <c r="A7" s="59"/>
      <c r="B7" s="59"/>
      <c r="C7" s="59"/>
      <c r="D7" s="59"/>
      <c r="E7" s="59"/>
      <c r="F7" s="59"/>
      <c r="G7" s="59"/>
      <c r="H7" s="14"/>
      <c r="I7" s="14"/>
      <c r="J7" s="15"/>
      <c r="K7" s="16"/>
      <c r="L7" s="17"/>
    </row>
    <row r="8" spans="1:12" ht="21" x14ac:dyDescent="0.6">
      <c r="A8" s="59"/>
      <c r="B8" s="59"/>
      <c r="C8" s="59"/>
      <c r="D8" s="59"/>
      <c r="E8" s="59"/>
      <c r="F8" s="59"/>
      <c r="G8" s="59"/>
      <c r="H8" s="14"/>
      <c r="I8" s="14"/>
      <c r="J8" s="15"/>
      <c r="K8" s="16"/>
      <c r="L8" s="17"/>
    </row>
    <row r="9" spans="1:12" ht="20.399999999999999" x14ac:dyDescent="0.55000000000000004">
      <c r="A9" s="53" t="s">
        <v>44</v>
      </c>
      <c r="B9" s="54"/>
      <c r="C9" s="54"/>
      <c r="D9" s="54"/>
      <c r="E9" s="54"/>
      <c r="F9" s="54"/>
      <c r="G9" s="54"/>
      <c r="H9" s="61"/>
      <c r="I9" s="61"/>
      <c r="J9" s="54"/>
      <c r="K9" s="62"/>
      <c r="L9" s="55"/>
    </row>
    <row r="10" spans="1:12" ht="21" x14ac:dyDescent="0.6">
      <c r="A10" s="59"/>
      <c r="B10" s="59"/>
      <c r="C10" s="59"/>
      <c r="D10" s="59"/>
      <c r="E10" s="59"/>
      <c r="F10" s="59"/>
      <c r="G10" s="59"/>
      <c r="H10" s="14"/>
      <c r="I10" s="14"/>
      <c r="J10" s="15"/>
      <c r="K10" s="16"/>
      <c r="L10" s="17"/>
    </row>
    <row r="11" spans="1:12" ht="20.399999999999999" x14ac:dyDescent="0.55000000000000004">
      <c r="A11" s="53" t="s">
        <v>45</v>
      </c>
      <c r="B11" s="54"/>
      <c r="C11" s="54"/>
      <c r="D11" s="54"/>
      <c r="E11" s="54"/>
      <c r="F11" s="54"/>
      <c r="G11" s="54"/>
      <c r="H11" s="61"/>
      <c r="I11" s="61"/>
      <c r="J11" s="54"/>
      <c r="K11" s="62"/>
      <c r="L11" s="55"/>
    </row>
    <row r="12" spans="1:12" ht="21" x14ac:dyDescent="0.6">
      <c r="A12" s="59"/>
      <c r="B12" s="59"/>
      <c r="C12" s="59"/>
      <c r="D12" s="59"/>
      <c r="E12" s="59"/>
      <c r="F12" s="59"/>
      <c r="G12" s="59"/>
      <c r="H12" s="14"/>
      <c r="I12" s="14"/>
      <c r="J12" s="15"/>
      <c r="K12" s="16"/>
      <c r="L12" s="17"/>
    </row>
    <row r="13" spans="1:12" ht="21" x14ac:dyDescent="0.6">
      <c r="A13" s="59"/>
      <c r="B13" s="59"/>
      <c r="C13" s="59"/>
      <c r="D13" s="59"/>
      <c r="E13" s="59"/>
      <c r="F13" s="59"/>
      <c r="G13" s="59"/>
      <c r="H13" s="14"/>
      <c r="I13" s="14"/>
      <c r="J13" s="15"/>
      <c r="K13" s="16"/>
      <c r="L13" s="17"/>
    </row>
    <row r="14" spans="1:12" ht="20.399999999999999" x14ac:dyDescent="0.55000000000000004">
      <c r="A14" s="53" t="s">
        <v>46</v>
      </c>
      <c r="B14" s="54"/>
      <c r="C14" s="54"/>
      <c r="D14" s="54"/>
      <c r="E14" s="54"/>
      <c r="F14" s="54"/>
      <c r="G14" s="54"/>
      <c r="H14" s="61"/>
      <c r="I14" s="61"/>
      <c r="J14" s="54"/>
      <c r="K14" s="62"/>
      <c r="L14" s="55"/>
    </row>
    <row r="15" spans="1:12" ht="21" x14ac:dyDescent="0.6">
      <c r="A15" s="59"/>
      <c r="B15" s="59"/>
      <c r="C15" s="59"/>
      <c r="D15" s="59"/>
      <c r="E15" s="59"/>
      <c r="F15" s="59"/>
      <c r="G15" s="59"/>
      <c r="H15" s="14"/>
      <c r="I15" s="14"/>
      <c r="J15" s="15"/>
      <c r="K15" s="16"/>
      <c r="L15" s="17"/>
    </row>
    <row r="16" spans="1:12" ht="21" x14ac:dyDescent="0.6">
      <c r="A16" s="59"/>
      <c r="B16" s="59"/>
      <c r="C16" s="59"/>
      <c r="D16" s="59"/>
      <c r="E16" s="59"/>
      <c r="F16" s="59"/>
      <c r="G16" s="59"/>
      <c r="H16" s="14"/>
      <c r="I16" s="14"/>
      <c r="J16" s="15"/>
      <c r="K16" s="16"/>
      <c r="L16" s="17"/>
    </row>
    <row r="17" spans="1:12" ht="21" x14ac:dyDescent="0.6">
      <c r="A17" s="63"/>
      <c r="B17" s="63"/>
      <c r="C17" s="63"/>
      <c r="D17" s="63"/>
      <c r="E17" s="63"/>
      <c r="F17" s="63"/>
      <c r="G17" s="63"/>
      <c r="H17" s="18"/>
      <c r="I17" s="18"/>
      <c r="J17" s="19">
        <f>SUM(J7:J16)</f>
        <v>0</v>
      </c>
      <c r="K17" s="20" t="e">
        <f>AVERAGE(K7:K16)</f>
        <v>#DIV/0!</v>
      </c>
      <c r="L17" s="21"/>
    </row>
  </sheetData>
  <mergeCells count="16">
    <mergeCell ref="A14:L14"/>
    <mergeCell ref="A15:G15"/>
    <mergeCell ref="A16:G16"/>
    <mergeCell ref="A17:G17"/>
    <mergeCell ref="A8:G8"/>
    <mergeCell ref="A9:L9"/>
    <mergeCell ref="A10:G10"/>
    <mergeCell ref="A11:L11"/>
    <mergeCell ref="A12:G12"/>
    <mergeCell ref="A13:G13"/>
    <mergeCell ref="A7:G7"/>
    <mergeCell ref="A1:G1"/>
    <mergeCell ref="B2:G2"/>
    <mergeCell ref="B3:G3"/>
    <mergeCell ref="A5:G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Summary</vt:lpstr>
      <vt:lpstr>ใบไม้</vt:lpstr>
      <vt:lpstr>2_SKIB</vt:lpstr>
      <vt:lpstr>5_MKT</vt:lpstr>
      <vt:lpstr>6_MKT</vt:lpstr>
      <vt:lpstr>ปริ้น</vt:lpstr>
      <vt:lpstr>3_DEBT</vt:lpstr>
      <vt:lpstr>4_LEGAL</vt:lpstr>
      <vt:lpstr>9_CS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Pissopa Sittirattanarungsi</dc:creator>
  <cp:lastModifiedBy>pawarit thaotong</cp:lastModifiedBy>
  <dcterms:created xsi:type="dcterms:W3CDTF">2025-12-03T09:24:40Z</dcterms:created>
  <dcterms:modified xsi:type="dcterms:W3CDTF">2026-01-08T18:56:09Z</dcterms:modified>
</cp:coreProperties>
</file>