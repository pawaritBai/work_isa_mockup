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awarit.th\Documents\"/>
    </mc:Choice>
  </mc:AlternateContent>
  <xr:revisionPtr revIDLastSave="0" documentId="13_ncr:1_{78272D28-99BE-4197-AC19-E3365CE5603B}" xr6:coauthVersionLast="47" xr6:coauthVersionMax="47" xr10:uidLastSave="{00000000-0000-0000-0000-000000000000}"/>
  <bookViews>
    <workbookView xWindow="-108" yWindow="-108" windowWidth="23256" windowHeight="12456" activeTab="2" xr2:uid="{32C5D2A9-1228-445E-A0B8-CE4FBD5796AA}"/>
  </bookViews>
  <sheets>
    <sheet name="Summary" sheetId="1" r:id="rId1"/>
    <sheet name="ใบไม้" sheetId="3" r:id="rId2"/>
    <sheet name="2_SKIB" sheetId="4" r:id="rId3"/>
    <sheet name="5_MKT" sheetId="5" r:id="rId4"/>
    <sheet name="6_MKT" sheetId="6" r:id="rId5"/>
    <sheet name="ปริ้น" sheetId="2" r:id="rId6"/>
    <sheet name="3_DEBT" sheetId="7" r:id="rId7"/>
    <sheet name="4_LEGAL" sheetId="8" r:id="rId8"/>
    <sheet name="9_C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7" i="2"/>
  <c r="J17" i="8"/>
  <c r="K17" i="9"/>
  <c r="J17" i="9"/>
  <c r="K17" i="8"/>
  <c r="K17" i="7"/>
  <c r="J17" i="7"/>
  <c r="K17" i="6"/>
  <c r="J17" i="6"/>
  <c r="K17" i="5"/>
  <c r="J17" i="5"/>
  <c r="K18" i="4"/>
  <c r="J18" i="4"/>
</calcChain>
</file>

<file path=xl/sharedStrings.xml><?xml version="1.0" encoding="utf-8"?>
<sst xmlns="http://schemas.openxmlformats.org/spreadsheetml/2006/main" count="174" uniqueCount="69">
  <si>
    <t>ปริ้น, โอม</t>
  </si>
  <si>
    <t>C/S, Debt. &amp; Legal (ASK &amp; BGPL)</t>
  </si>
  <si>
    <t>แก้ไข Suing &amp; Judgement
          -  วันที่ฟ้อง
          -  เลขคดี
          -  ยอดเงินฟ้อง</t>
  </si>
  <si>
    <t>Legal (ASK &amp; BGPL)</t>
  </si>
  <si>
    <t>Debt. (ASK)</t>
  </si>
  <si>
    <t>ใบไม้, โอม</t>
  </si>
  <si>
    <t>Marketing (ASK &amp; BGPL)</t>
  </si>
  <si>
    <t>Marketing (ASK)</t>
  </si>
  <si>
    <t>SKIB</t>
  </si>
  <si>
    <t>Status</t>
  </si>
  <si>
    <t>Lead</t>
  </si>
  <si>
    <t>Responsibility</t>
  </si>
  <si>
    <t>Description</t>
  </si>
  <si>
    <t>Department</t>
  </si>
  <si>
    <t>No.</t>
  </si>
  <si>
    <t>\\ISA-APP</t>
  </si>
  <si>
    <t>Java</t>
  </si>
  <si>
    <t>Angular 16</t>
  </si>
  <si>
    <t>2. SKIB ประกันภัย</t>
  </si>
  <si>
    <t>Task</t>
  </si>
  <si>
    <t>Manday</t>
  </si>
  <si>
    <t>Start</t>
  </si>
  <si>
    <t>End</t>
  </si>
  <si>
    <t>Remark</t>
  </si>
  <si>
    <t>Get Requirement กับพี่เมย์</t>
  </si>
  <si>
    <t>Confirm Mockup กับพี่เมย์</t>
  </si>
  <si>
    <t>Develop</t>
  </si>
  <si>
    <t>SIT</t>
  </si>
  <si>
    <t>UAT</t>
  </si>
  <si>
    <t>Go-live</t>
  </si>
  <si>
    <t>5. Marketing (ASK)</t>
  </si>
  <si>
    <t>6. Marketing (ASK &amp; BGPL)</t>
  </si>
  <si>
    <t>3. Debt. (ASK)</t>
  </si>
  <si>
    <t>9. C/S, Debt. &amp; Legal (ASK &amp; BGPL)</t>
  </si>
  <si>
    <t>4. Legal (ASK &amp; BGPL)</t>
  </si>
  <si>
    <t>WBS : Work Breakdown Structure</t>
  </si>
  <si>
    <t>Project</t>
  </si>
  <si>
    <t>Version</t>
  </si>
  <si>
    <t>Task Description</t>
  </si>
  <si>
    <t>Start Date</t>
  </si>
  <si>
    <t>End Date</t>
  </si>
  <si>
    <t>Due Day</t>
  </si>
  <si>
    <t>% Task</t>
  </si>
  <si>
    <t>FRONT END</t>
  </si>
  <si>
    <t>SERVICE</t>
  </si>
  <si>
    <t>PACKAGE</t>
  </si>
  <si>
    <t>REPORT</t>
  </si>
  <si>
    <t>Prepare Confing</t>
  </si>
  <si>
    <t>Study</t>
  </si>
  <si>
    <t>Summary Plan : ใบไม้</t>
  </si>
  <si>
    <t>Summary Plan : ปริ้น</t>
  </si>
  <si>
    <t>แก้ไขรายละเอียดการขายรถยึด
          -  ไม่ได้ระบุชื่อ Marketing แนะนำ
          -  เพิ่มรายการเงินดาวน์         
          -  ยกเลิกการขาย</t>
  </si>
  <si>
    <r>
      <t xml:space="preserve">Add &amp; Change Marketing Code &amp; Team 
</t>
    </r>
    <r>
      <rPr>
        <sz val="11"/>
        <color rgb="FFFF0000"/>
        <rFont val="Tahoma"/>
        <family val="2"/>
        <scheme val="minor"/>
      </rPr>
      <t>*มีDelphiอยู่แล้วเอาขึ้น web</t>
    </r>
  </si>
  <si>
    <r>
      <t xml:space="preserve">แก้ไขข้อมูลประกันภัย
          -  ช่องทางการชำระเงิน (Credit Card)
          -  เปลี่ยนผู้ทำประกันชีวิต  (insurance transaction)
          -  ชนิด &amp; ประเภทประกัน
          -  วันที่หมดอายุ , เงินคุ้มครอง  
          -  ตั้ง commission ประกันภัย  
</t>
    </r>
    <r>
      <rPr>
        <sz val="11"/>
        <color rgb="FFFF0000"/>
        <rFont val="Tahoma"/>
        <family val="2"/>
        <scheme val="minor"/>
      </rPr>
      <t xml:space="preserve">             *มีDelphiอยู่แล้วเอาขึ้น web</t>
    </r>
    <r>
      <rPr>
        <sz val="11"/>
        <color theme="1"/>
        <rFont val="Tahoma"/>
        <family val="2"/>
        <charset val="222"/>
        <scheme val="minor"/>
      </rPr>
      <t xml:space="preserve">
          </t>
    </r>
    <r>
      <rPr>
        <sz val="11"/>
        <color rgb="FFFF0000"/>
        <rFont val="Tahoma"/>
        <family val="2"/>
        <scheme val="minor"/>
      </rPr>
      <t>-  ติด Ch5 ค่าประกันคืนลูกค้า (Fixed) ไม่ต้องทำ</t>
    </r>
  </si>
  <si>
    <r>
      <t xml:space="preserve">Cancel RT </t>
    </r>
    <r>
      <rPr>
        <sz val="11"/>
        <color rgb="FFFF0000"/>
        <rFont val="Tahoma"/>
        <family val="2"/>
        <scheme val="minor"/>
      </rPr>
      <t>(ASK ส่วนใหญ่) *มีDelphiอยู่แล้วเอาขึ้น web</t>
    </r>
    <r>
      <rPr>
        <sz val="11"/>
        <color theme="1"/>
        <rFont val="Tahoma"/>
        <family val="2"/>
        <charset val="222"/>
        <scheme val="minor"/>
      </rPr>
      <t xml:space="preserve">
          -  ลูกค้าเปลี่ยนใจ (ปิดสัญญาใหม่ไปใช้สัญญาเก่า)
</t>
    </r>
    <r>
      <rPr>
        <sz val="11"/>
        <color rgb="FFFF0000"/>
        <rFont val="Tahoma"/>
        <family val="2"/>
        <scheme val="minor"/>
      </rPr>
      <t>Edit RT (BGPL เฉพาะ loan) *พี่น้องบอกให้พี่หนุ่ยทำ
          -  แก้เงื่อนไข Start RT 
             (BGPL Start RT ผู้ค้ำมาบ้างไม่มาบ้าง, 
              Gross IRR 2 ตำแหน่ง,
              มีการเข้า Table BG_Drawdown_Receive)</t>
    </r>
    <r>
      <rPr>
        <sz val="11"/>
        <color theme="1"/>
        <rFont val="Tahoma"/>
        <family val="2"/>
        <charset val="222"/>
        <scheme val="minor"/>
      </rPr>
      <t xml:space="preserve">
</t>
    </r>
    <r>
      <rPr>
        <sz val="11"/>
        <color rgb="FFFF0000"/>
        <rFont val="Tahoma"/>
        <family val="2"/>
        <scheme val="minor"/>
      </rPr>
      <t>Edit RD -  ขอพิมพ์สัญญาย้อนหลัง(พี่ป๋องมี) (ASK ส่วนใหญ่)
             *พี่น้องบอกให้พี่ป๋องทำ</t>
    </r>
  </si>
  <si>
    <r>
      <t xml:space="preserve">OA Debt.Code &amp; Legal Code
</t>
    </r>
    <r>
      <rPr>
        <sz val="11"/>
        <color rgb="FFFF0000"/>
        <rFont val="Tahoma"/>
        <family val="2"/>
        <scheme val="minor"/>
      </rPr>
      <t>LG to do.</t>
    </r>
    <r>
      <rPr>
        <sz val="11"/>
        <color theme="1"/>
        <rFont val="Tahoma"/>
        <family val="2"/>
        <charset val="222"/>
        <scheme val="minor"/>
      </rPr>
      <t xml:space="preserve"> </t>
    </r>
    <r>
      <rPr>
        <sz val="11"/>
        <color rgb="FFFF0000"/>
        <rFont val="Tahoma"/>
        <family val="2"/>
        <scheme val="minor"/>
      </rPr>
      <t>*ไม่ต้องทำ</t>
    </r>
  </si>
  <si>
    <t>พี่ปู, พี่หนุ่ย</t>
  </si>
  <si>
    <t>พี่เอม</t>
  </si>
  <si>
    <t>พี่ก๊อต</t>
  </si>
  <si>
    <t>พี่ไกด์</t>
  </si>
  <si>
    <t>ออกแบบหน้า UX/UI ของระบบและ confirm กับผู้ใช้</t>
  </si>
  <si>
    <t>เริ่มเขียน code หน้าบ้านตามที่ออกแบบ</t>
  </si>
  <si>
    <t>เขียน service ที่ต้องใช้ดึงข้อมูล, และบันทึก</t>
  </si>
  <si>
    <t>เขียน package ที่ต้องใช้ดึงข้อมูลมาแสดง</t>
  </si>
  <si>
    <t>เขียน package ที่ต้องใช้บันทึกข้อมูลการแก้ไข้</t>
  </si>
  <si>
    <t>มีปัญหาเกี่ยวกับการเขียน html, scss โดยไม่ตรงกับที่ออกแบบ เลยต้องแก้ไข้ให้ใกล้เคียงที่สุด</t>
  </si>
  <si>
    <t>มีปัญหาเกี่ยวกับการเขียน package, service ต้องทำความเข้าใจระบบในการ query</t>
  </si>
  <si>
    <t>ยังไม่ได้เริ่มทำ</t>
  </si>
  <si>
    <t>เนื่องจากอยู่ในการทำ module แรกเลยยังไม่ได้เริ่มทำ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</si>
</sst>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F800]dddd\,\ mmmm\ dd\,\ yyyy"/>
    <numFmt numFmtId="188" formatCode="0.0"/>
  </numFmts>
  <fonts count="9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name val="Tahoma"/>
      <family val="2"/>
      <charset val="222"/>
      <scheme val="minor"/>
    </font>
    <font>
      <b/>
      <sz val="16"/>
      <color theme="0"/>
      <name val="Cordia New"/>
      <family val="2"/>
      <charset val="222"/>
    </font>
    <font>
      <sz val="11"/>
      <color theme="1"/>
      <name val="Cordia New"/>
      <family val="2"/>
      <charset val="222"/>
    </font>
    <font>
      <b/>
      <sz val="14"/>
      <color theme="1"/>
      <name val="Cordia New"/>
      <family val="2"/>
      <charset val="222"/>
    </font>
    <font>
      <sz val="14"/>
      <color theme="1"/>
      <name val="Cordia New"/>
      <family val="2"/>
      <charset val="222"/>
    </font>
    <font>
      <sz val="11"/>
      <color rgb="FFFF0000"/>
      <name val="Tahoma"/>
      <family val="2"/>
      <scheme val="minor"/>
    </font>
    <font>
      <sz val="14"/>
      <color theme="1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1" fillId="0" borderId="0" xfId="1" applyAlignment="1">
      <alignment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8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1" xfId="0" applyFont="1" applyBorder="1"/>
    <xf numFmtId="18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9" fontId="6" fillId="0" borderId="1" xfId="0" applyNumberFormat="1" applyFont="1" applyBorder="1"/>
    <xf numFmtId="0" fontId="6" fillId="0" borderId="1" xfId="0" applyFont="1" applyBorder="1"/>
    <xf numFmtId="1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9" fontId="5" fillId="3" borderId="1" xfId="0" applyNumberFormat="1" applyFont="1" applyFill="1" applyBorder="1"/>
    <xf numFmtId="0" fontId="5" fillId="3" borderId="1" xfId="0" applyFont="1" applyFill="1" applyBorder="1"/>
    <xf numFmtId="14" fontId="4" fillId="0" borderId="0" xfId="0" applyNumberFormat="1" applyFont="1" applyAlignment="1">
      <alignment horizontal="center" vertical="center"/>
    </xf>
    <xf numFmtId="9" fontId="4" fillId="0" borderId="0" xfId="0" applyNumberFormat="1" applyFont="1"/>
    <xf numFmtId="0" fontId="0" fillId="0" borderId="1" xfId="0" applyBorder="1" applyAlignment="1">
      <alignment horizontal="center" vertical="top"/>
    </xf>
    <xf numFmtId="0" fontId="2" fillId="0" borderId="1" xfId="1" applyFont="1" applyBorder="1" applyAlignment="1">
      <alignment horizontal="center" vertical="top"/>
    </xf>
    <xf numFmtId="14" fontId="0" fillId="0" borderId="1" xfId="0" applyNumberFormat="1" applyBorder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indent="1"/>
    </xf>
    <xf numFmtId="0" fontId="0" fillId="0" borderId="0" xfId="0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14" fontId="0" fillId="0" borderId="1" xfId="0" applyNumberFormat="1" applyBorder="1" applyAlignment="1">
      <alignment horizontal="right"/>
    </xf>
    <xf numFmtId="9" fontId="0" fillId="0" borderId="1" xfId="0" applyNumberForma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88" fontId="5" fillId="0" borderId="2" xfId="0" applyNumberFormat="1" applyFont="1" applyBorder="1" applyAlignment="1">
      <alignment horizontal="left"/>
    </xf>
    <xf numFmtId="188" fontId="5" fillId="0" borderId="3" xfId="0" applyNumberFormat="1" applyFont="1" applyBorder="1" applyAlignment="1">
      <alignment horizontal="left"/>
    </xf>
    <xf numFmtId="188" fontId="5" fillId="0" borderId="4" xfId="0" applyNumberFormat="1" applyFont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14" fontId="5" fillId="3" borderId="3" xfId="0" applyNumberFormat="1" applyFont="1" applyFill="1" applyBorder="1" applyAlignment="1">
      <alignment horizontal="left"/>
    </xf>
    <xf numFmtId="9" fontId="5" fillId="3" borderId="3" xfId="0" applyNumberFormat="1" applyFont="1" applyFill="1" applyBorder="1" applyAlignment="1">
      <alignment horizontal="left"/>
    </xf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ISA-AP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AAB07-C219-4A1A-A00C-860F00461FF1}">
  <sheetPr>
    <tabColor rgb="FFFF0000"/>
  </sheetPr>
  <dimension ref="A1:F11"/>
  <sheetViews>
    <sheetView workbookViewId="0">
      <selection activeCell="H8" sqref="H8"/>
    </sheetView>
  </sheetViews>
  <sheetFormatPr defaultColWidth="8.69921875" defaultRowHeight="13.8" x14ac:dyDescent="0.25"/>
  <cols>
    <col min="1" max="1" width="8.69921875" style="1"/>
    <col min="2" max="2" width="27.69921875" style="1" bestFit="1" customWidth="1"/>
    <col min="3" max="3" width="47.69921875" style="1" customWidth="1"/>
    <col min="4" max="4" width="14.59765625" style="1" customWidth="1"/>
    <col min="5" max="5" width="12.69921875" style="1" customWidth="1"/>
    <col min="6" max="6" width="14.69921875" style="1" bestFit="1" customWidth="1"/>
    <col min="7" max="16384" width="8.69921875" style="1"/>
  </cols>
  <sheetData>
    <row r="1" spans="1:6" x14ac:dyDescent="0.25">
      <c r="B1" s="1" t="s">
        <v>17</v>
      </c>
    </row>
    <row r="2" spans="1:6" x14ac:dyDescent="0.25">
      <c r="B2" s="1" t="s">
        <v>16</v>
      </c>
    </row>
    <row r="3" spans="1:6" x14ac:dyDescent="0.25">
      <c r="B3" s="4" t="s">
        <v>15</v>
      </c>
    </row>
    <row r="4" spans="1:6" x14ac:dyDescent="0.25">
      <c r="C4" s="4"/>
    </row>
    <row r="5" spans="1:6" x14ac:dyDescent="0.25">
      <c r="A5" s="24" t="s">
        <v>14</v>
      </c>
      <c r="B5" s="24" t="s">
        <v>13</v>
      </c>
      <c r="C5" s="25" t="s">
        <v>12</v>
      </c>
      <c r="D5" s="24" t="s">
        <v>11</v>
      </c>
      <c r="E5" s="24" t="s">
        <v>10</v>
      </c>
      <c r="F5" s="24" t="s">
        <v>9</v>
      </c>
    </row>
    <row r="6" spans="1:6" ht="110.4" x14ac:dyDescent="0.25">
      <c r="A6" s="2">
        <v>2</v>
      </c>
      <c r="B6" s="2" t="s">
        <v>8</v>
      </c>
      <c r="C6" s="3" t="s">
        <v>53</v>
      </c>
      <c r="D6" s="2" t="s">
        <v>5</v>
      </c>
      <c r="E6" s="2" t="s">
        <v>57</v>
      </c>
      <c r="F6" s="2"/>
    </row>
    <row r="7" spans="1:6" ht="35.4" customHeight="1" x14ac:dyDescent="0.25">
      <c r="A7" s="2">
        <v>5</v>
      </c>
      <c r="B7" s="2" t="s">
        <v>7</v>
      </c>
      <c r="C7" s="3" t="s">
        <v>52</v>
      </c>
      <c r="D7" s="2" t="s">
        <v>5</v>
      </c>
      <c r="E7" s="2" t="s">
        <v>56</v>
      </c>
      <c r="F7" s="2"/>
    </row>
    <row r="8" spans="1:6" ht="124.2" x14ac:dyDescent="0.25">
      <c r="A8" s="2">
        <v>6</v>
      </c>
      <c r="B8" s="2" t="s">
        <v>6</v>
      </c>
      <c r="C8" s="3" t="s">
        <v>54</v>
      </c>
      <c r="D8" s="2" t="s">
        <v>5</v>
      </c>
      <c r="E8" s="2" t="s">
        <v>58</v>
      </c>
      <c r="F8" s="2"/>
    </row>
    <row r="9" spans="1:6" ht="55.2" x14ac:dyDescent="0.25">
      <c r="A9" s="2">
        <v>3</v>
      </c>
      <c r="B9" s="2" t="s">
        <v>4</v>
      </c>
      <c r="C9" s="3" t="s">
        <v>51</v>
      </c>
      <c r="D9" s="2" t="s">
        <v>0</v>
      </c>
      <c r="E9" s="2" t="s">
        <v>59</v>
      </c>
      <c r="F9" s="2"/>
    </row>
    <row r="10" spans="1:6" ht="55.2" x14ac:dyDescent="0.25">
      <c r="A10" s="2">
        <v>4</v>
      </c>
      <c r="B10" s="2" t="s">
        <v>3</v>
      </c>
      <c r="C10" s="3" t="s">
        <v>2</v>
      </c>
      <c r="D10" s="2" t="s">
        <v>0</v>
      </c>
      <c r="E10" s="2" t="s">
        <v>59</v>
      </c>
      <c r="F10" s="2"/>
    </row>
    <row r="11" spans="1:6" ht="38.4" customHeight="1" x14ac:dyDescent="0.25">
      <c r="A11" s="2">
        <v>9</v>
      </c>
      <c r="B11" s="2" t="s">
        <v>1</v>
      </c>
      <c r="C11" s="3" t="s">
        <v>55</v>
      </c>
      <c r="D11" s="2" t="s">
        <v>0</v>
      </c>
      <c r="E11" s="2" t="s">
        <v>59</v>
      </c>
      <c r="F11" s="2"/>
    </row>
  </sheetData>
  <hyperlinks>
    <hyperlink ref="B3" r:id="rId1" xr:uid="{B7DDE90D-02CF-440D-968A-46D4A5D38896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BCC4-2B83-45F6-85B9-DFB77F7A2CAA}">
  <sheetPr>
    <tabColor theme="9" tint="0.59999389629810485"/>
  </sheetPr>
  <dimension ref="A2:G34"/>
  <sheetViews>
    <sheetView zoomScale="115" zoomScaleNormal="115" workbookViewId="0">
      <selection activeCell="F11" sqref="F11"/>
    </sheetView>
  </sheetViews>
  <sheetFormatPr defaultRowHeight="13.8" x14ac:dyDescent="0.25"/>
  <cols>
    <col min="2" max="2" width="29.69921875" customWidth="1"/>
    <col min="4" max="4" width="11.69921875" customWidth="1"/>
    <col min="5" max="5" width="11.59765625" customWidth="1"/>
    <col min="6" max="6" width="8.796875" style="28"/>
    <col min="7" max="7" width="28.796875" customWidth="1"/>
  </cols>
  <sheetData>
    <row r="2" spans="1:7" x14ac:dyDescent="0.25">
      <c r="A2" t="s">
        <v>49</v>
      </c>
    </row>
    <row r="3" spans="1:7" x14ac:dyDescent="0.25">
      <c r="A3" s="6" t="s">
        <v>14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9</v>
      </c>
      <c r="G3" s="6" t="s">
        <v>23</v>
      </c>
    </row>
    <row r="4" spans="1:7" x14ac:dyDescent="0.25">
      <c r="A4" s="24">
        <v>1</v>
      </c>
      <c r="B4" s="29" t="s">
        <v>48</v>
      </c>
      <c r="C4" s="6">
        <v>8</v>
      </c>
      <c r="D4" s="26">
        <v>45985</v>
      </c>
      <c r="E4" s="26">
        <v>45964</v>
      </c>
      <c r="F4" s="35">
        <v>1</v>
      </c>
      <c r="G4" s="5"/>
    </row>
    <row r="5" spans="1:7" x14ac:dyDescent="0.25">
      <c r="A5" s="6">
        <v>2</v>
      </c>
      <c r="B5" s="5" t="s">
        <v>24</v>
      </c>
      <c r="C5" s="6">
        <v>10</v>
      </c>
      <c r="D5" s="26">
        <v>45995</v>
      </c>
      <c r="E5" s="26">
        <v>46010</v>
      </c>
      <c r="F5" s="35">
        <v>1</v>
      </c>
      <c r="G5" s="5"/>
    </row>
    <row r="6" spans="1:7" x14ac:dyDescent="0.25">
      <c r="A6" s="6">
        <v>3</v>
      </c>
      <c r="B6" s="5" t="s">
        <v>25</v>
      </c>
      <c r="C6" s="6">
        <v>1</v>
      </c>
      <c r="D6" s="26">
        <v>46010</v>
      </c>
      <c r="E6" s="26">
        <v>46010</v>
      </c>
      <c r="F6" s="35">
        <v>1</v>
      </c>
      <c r="G6" s="5"/>
    </row>
    <row r="7" spans="1:7" x14ac:dyDescent="0.25">
      <c r="A7" s="6">
        <v>4</v>
      </c>
      <c r="B7" s="5" t="s">
        <v>26</v>
      </c>
      <c r="C7" s="6">
        <v>36</v>
      </c>
      <c r="D7" s="26">
        <v>46013</v>
      </c>
      <c r="E7" s="26">
        <v>46066</v>
      </c>
      <c r="F7" s="35">
        <f>AVERAGE(F8:F10)</f>
        <v>0.35333333333333333</v>
      </c>
      <c r="G7" s="5"/>
    </row>
    <row r="8" spans="1:7" x14ac:dyDescent="0.25">
      <c r="A8" s="6"/>
      <c r="B8" s="30" t="s">
        <v>18</v>
      </c>
      <c r="C8" s="6"/>
      <c r="D8" s="26"/>
      <c r="E8" s="26"/>
      <c r="F8" s="35">
        <v>0.66</v>
      </c>
      <c r="G8" s="5"/>
    </row>
    <row r="9" spans="1:7" x14ac:dyDescent="0.25">
      <c r="A9" s="6"/>
      <c r="B9" s="30" t="s">
        <v>30</v>
      </c>
      <c r="C9" s="6"/>
      <c r="D9" s="26"/>
      <c r="E9" s="26"/>
      <c r="F9" s="35">
        <v>0.2</v>
      </c>
      <c r="G9" s="5"/>
    </row>
    <row r="10" spans="1:7" x14ac:dyDescent="0.25">
      <c r="A10" s="6"/>
      <c r="B10" s="30" t="s">
        <v>31</v>
      </c>
      <c r="C10" s="6"/>
      <c r="D10" s="26"/>
      <c r="E10" s="26"/>
      <c r="F10" s="35">
        <v>0.2</v>
      </c>
      <c r="G10" s="5"/>
    </row>
    <row r="11" spans="1:7" x14ac:dyDescent="0.25">
      <c r="A11" s="6">
        <v>5</v>
      </c>
      <c r="B11" s="5" t="s">
        <v>27</v>
      </c>
      <c r="C11" s="6">
        <v>5</v>
      </c>
      <c r="D11" s="26">
        <v>46069</v>
      </c>
      <c r="E11" s="26">
        <v>46073</v>
      </c>
      <c r="F11" s="35">
        <v>0</v>
      </c>
      <c r="G11" s="5"/>
    </row>
    <row r="12" spans="1:7" x14ac:dyDescent="0.25">
      <c r="A12" s="6">
        <v>6</v>
      </c>
      <c r="B12" s="5" t="s">
        <v>28</v>
      </c>
      <c r="C12" s="6">
        <v>5</v>
      </c>
      <c r="D12" s="26">
        <v>46076</v>
      </c>
      <c r="E12" s="26">
        <v>46080</v>
      </c>
      <c r="F12" s="35">
        <v>0</v>
      </c>
      <c r="G12" s="5"/>
    </row>
    <row r="13" spans="1:7" x14ac:dyDescent="0.25">
      <c r="A13" s="6">
        <v>7</v>
      </c>
      <c r="B13" s="5" t="s">
        <v>47</v>
      </c>
      <c r="C13" s="6">
        <v>2</v>
      </c>
      <c r="D13" s="26">
        <v>46083</v>
      </c>
      <c r="E13" s="26">
        <v>46084</v>
      </c>
      <c r="F13" s="35">
        <v>0</v>
      </c>
      <c r="G13" s="5"/>
    </row>
    <row r="14" spans="1:7" x14ac:dyDescent="0.25">
      <c r="A14" s="6">
        <v>8</v>
      </c>
      <c r="B14" s="5" t="s">
        <v>29</v>
      </c>
      <c r="C14" s="6"/>
      <c r="D14" s="26">
        <v>46086</v>
      </c>
      <c r="E14" s="26">
        <v>46086</v>
      </c>
      <c r="F14" s="35">
        <v>0</v>
      </c>
      <c r="G14" s="5"/>
    </row>
    <row r="19" spans="1:5" x14ac:dyDescent="0.25">
      <c r="A19" s="28"/>
      <c r="D19" s="27"/>
      <c r="E19" s="27"/>
    </row>
    <row r="20" spans="1:5" x14ac:dyDescent="0.25">
      <c r="A20" s="28"/>
      <c r="D20" s="27"/>
      <c r="E20" s="27"/>
    </row>
    <row r="21" spans="1:5" x14ac:dyDescent="0.25">
      <c r="A21" s="28"/>
      <c r="D21" s="27"/>
      <c r="E21" s="27"/>
    </row>
    <row r="22" spans="1:5" x14ac:dyDescent="0.25">
      <c r="A22" s="28"/>
    </row>
    <row r="23" spans="1:5" x14ac:dyDescent="0.25">
      <c r="A23" s="28"/>
    </row>
    <row r="24" spans="1:5" x14ac:dyDescent="0.25">
      <c r="A24" s="28"/>
    </row>
    <row r="29" spans="1:5" x14ac:dyDescent="0.25">
      <c r="A29" s="28"/>
      <c r="D29" s="27"/>
      <c r="E29" s="27"/>
    </row>
    <row r="30" spans="1:5" x14ac:dyDescent="0.25">
      <c r="A30" s="28"/>
      <c r="D30" s="27"/>
      <c r="E30" s="27"/>
    </row>
    <row r="31" spans="1:5" x14ac:dyDescent="0.25">
      <c r="A31" s="28"/>
    </row>
    <row r="32" spans="1:5" x14ac:dyDescent="0.25">
      <c r="A32" s="28"/>
    </row>
    <row r="33" spans="1:1" x14ac:dyDescent="0.25">
      <c r="A33" s="28"/>
    </row>
    <row r="34" spans="1:1" x14ac:dyDescent="0.25">
      <c r="A34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E4CB8-4E9E-4BF9-8822-A24B0F931FB3}">
  <sheetPr>
    <tabColor theme="9" tint="0.59999389629810485"/>
  </sheetPr>
  <dimension ref="A1:L18"/>
  <sheetViews>
    <sheetView tabSelected="1" zoomScaleNormal="100" workbookViewId="0">
      <selection activeCell="A7" sqref="A7:G7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18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61" t="s">
        <v>38</v>
      </c>
      <c r="B5" s="62"/>
      <c r="C5" s="62"/>
      <c r="D5" s="62"/>
      <c r="E5" s="62"/>
      <c r="F5" s="62"/>
      <c r="G5" s="63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58" t="s">
        <v>60</v>
      </c>
      <c r="B7" s="59"/>
      <c r="C7" s="59"/>
      <c r="D7" s="59"/>
      <c r="E7" s="59"/>
      <c r="F7" s="59"/>
      <c r="G7" s="60"/>
      <c r="H7" s="37">
        <v>45995</v>
      </c>
      <c r="I7" s="37">
        <v>46011</v>
      </c>
      <c r="J7" s="36">
        <v>46010</v>
      </c>
      <c r="K7" s="16">
        <v>1</v>
      </c>
      <c r="L7" s="17"/>
    </row>
    <row r="8" spans="1:12" ht="21" x14ac:dyDescent="0.6">
      <c r="A8" s="64"/>
      <c r="B8" s="65"/>
      <c r="C8" s="65"/>
      <c r="D8" s="65"/>
      <c r="E8" s="65"/>
      <c r="F8" s="65"/>
      <c r="G8" s="66"/>
      <c r="H8" s="37"/>
      <c r="I8" s="37"/>
      <c r="J8" s="36"/>
      <c r="K8" s="16"/>
      <c r="L8" s="17"/>
    </row>
    <row r="9" spans="1:12" ht="21" x14ac:dyDescent="0.6">
      <c r="A9" s="58" t="s">
        <v>61</v>
      </c>
      <c r="B9" s="59"/>
      <c r="C9" s="59"/>
      <c r="D9" s="59"/>
      <c r="E9" s="59"/>
      <c r="F9" s="59"/>
      <c r="G9" s="60"/>
      <c r="H9" s="37">
        <v>46012</v>
      </c>
      <c r="I9" s="37">
        <v>46066</v>
      </c>
      <c r="J9" s="36">
        <v>46066</v>
      </c>
      <c r="K9" s="16">
        <v>0.9</v>
      </c>
      <c r="L9" s="17"/>
    </row>
    <row r="10" spans="1:12" ht="20.399999999999999" x14ac:dyDescent="0.55000000000000004">
      <c r="A10" s="49" t="s">
        <v>44</v>
      </c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1"/>
    </row>
    <row r="11" spans="1:12" ht="21" x14ac:dyDescent="0.6">
      <c r="A11" s="58" t="s">
        <v>62</v>
      </c>
      <c r="B11" s="59"/>
      <c r="C11" s="59"/>
      <c r="D11" s="59"/>
      <c r="E11" s="59"/>
      <c r="F11" s="59"/>
      <c r="G11" s="60"/>
      <c r="H11" s="14">
        <v>46012</v>
      </c>
      <c r="I11" s="14">
        <v>46066</v>
      </c>
      <c r="J11" s="36">
        <v>46066</v>
      </c>
      <c r="K11" s="16">
        <v>0.5</v>
      </c>
      <c r="L11" s="17"/>
    </row>
    <row r="12" spans="1:12" ht="20.399999999999999" x14ac:dyDescent="0.55000000000000004">
      <c r="A12" s="49" t="s">
        <v>45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1"/>
    </row>
    <row r="13" spans="1:12" ht="21" x14ac:dyDescent="0.6">
      <c r="A13" s="58" t="s">
        <v>63</v>
      </c>
      <c r="B13" s="59"/>
      <c r="C13" s="59"/>
      <c r="D13" s="59"/>
      <c r="E13" s="59"/>
      <c r="F13" s="59"/>
      <c r="G13" s="60"/>
      <c r="H13" s="14">
        <v>46012</v>
      </c>
      <c r="I13" s="14">
        <v>46066</v>
      </c>
      <c r="J13" s="36">
        <v>46066</v>
      </c>
      <c r="K13" s="16">
        <v>0.9</v>
      </c>
      <c r="L13" s="17"/>
    </row>
    <row r="14" spans="1:12" ht="21" x14ac:dyDescent="0.6">
      <c r="A14" s="58" t="s">
        <v>64</v>
      </c>
      <c r="B14" s="59"/>
      <c r="C14" s="59"/>
      <c r="D14" s="59"/>
      <c r="E14" s="59"/>
      <c r="F14" s="59"/>
      <c r="G14" s="60"/>
      <c r="H14" s="14">
        <v>46012</v>
      </c>
      <c r="I14" s="14">
        <v>46066</v>
      </c>
      <c r="J14" s="36">
        <v>46066</v>
      </c>
      <c r="K14" s="16">
        <v>0</v>
      </c>
      <c r="L14" s="17"/>
    </row>
    <row r="15" spans="1:12" ht="20.399999999999999" x14ac:dyDescent="0.55000000000000004">
      <c r="A15" s="49" t="s">
        <v>46</v>
      </c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1"/>
    </row>
    <row r="16" spans="1:12" ht="21" x14ac:dyDescent="0.6">
      <c r="A16" s="58" t="s">
        <v>65</v>
      </c>
      <c r="B16" s="59"/>
      <c r="C16" s="59"/>
      <c r="D16" s="59"/>
      <c r="E16" s="59"/>
      <c r="F16" s="59"/>
      <c r="G16" s="60"/>
      <c r="H16" s="14"/>
      <c r="I16" s="14"/>
      <c r="J16" s="15"/>
      <c r="K16" s="16"/>
      <c r="L16" s="17"/>
    </row>
    <row r="17" spans="1:12" ht="21" x14ac:dyDescent="0.6">
      <c r="A17" s="58" t="s">
        <v>66</v>
      </c>
      <c r="B17" s="59"/>
      <c r="C17" s="59"/>
      <c r="D17" s="59"/>
      <c r="E17" s="59"/>
      <c r="F17" s="59"/>
      <c r="G17" s="60"/>
      <c r="H17" s="14"/>
      <c r="I17" s="14"/>
      <c r="J17" s="15"/>
      <c r="K17" s="16"/>
      <c r="L17" s="17"/>
    </row>
    <row r="18" spans="1:12" ht="21" x14ac:dyDescent="0.6">
      <c r="A18" s="55"/>
      <c r="B18" s="56"/>
      <c r="C18" s="56"/>
      <c r="D18" s="56"/>
      <c r="E18" s="56"/>
      <c r="F18" s="56"/>
      <c r="G18" s="57"/>
      <c r="H18" s="18"/>
      <c r="I18" s="18"/>
      <c r="J18" s="19">
        <f>SUM(J7:J17)</f>
        <v>230274</v>
      </c>
      <c r="K18" s="20">
        <f>AVERAGE(K7:K17)</f>
        <v>0.65999999999999992</v>
      </c>
      <c r="L18" s="21"/>
    </row>
  </sheetData>
  <mergeCells count="17">
    <mergeCell ref="A18:G18"/>
    <mergeCell ref="A17:G17"/>
    <mergeCell ref="A16:G16"/>
    <mergeCell ref="A9:G9"/>
    <mergeCell ref="A8:G8"/>
    <mergeCell ref="A15:L15"/>
    <mergeCell ref="A10:L10"/>
    <mergeCell ref="A11:G11"/>
    <mergeCell ref="A12:L12"/>
    <mergeCell ref="A13:G13"/>
    <mergeCell ref="A14:G14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  <pageSetup paperSize="9" orientation="portrait" horizontalDpi="90" verticalDpi="9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9FA-6E78-41FB-BBE8-89995587ACAD}">
  <sheetPr>
    <tabColor theme="9" tint="0.59999389629810485"/>
  </sheetPr>
  <dimension ref="A1:L17"/>
  <sheetViews>
    <sheetView workbookViewId="0">
      <selection activeCell="A15" sqref="A15:G15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30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48" t="s">
        <v>38</v>
      </c>
      <c r="B5" s="48"/>
      <c r="C5" s="48"/>
      <c r="D5" s="48"/>
      <c r="E5" s="48"/>
      <c r="F5" s="48"/>
      <c r="G5" s="48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38" t="s">
        <v>60</v>
      </c>
      <c r="B7" s="38"/>
      <c r="C7" s="38"/>
      <c r="D7" s="38"/>
      <c r="E7" s="38"/>
      <c r="F7" s="38"/>
      <c r="G7" s="38"/>
      <c r="H7" s="14">
        <v>45995</v>
      </c>
      <c r="I7" s="14">
        <v>46011</v>
      </c>
      <c r="J7" s="36">
        <v>46010</v>
      </c>
      <c r="K7" s="16">
        <v>1</v>
      </c>
      <c r="L7" s="17"/>
    </row>
    <row r="8" spans="1:12" ht="21" x14ac:dyDescent="0.6">
      <c r="A8" s="38" t="s">
        <v>67</v>
      </c>
      <c r="B8" s="38"/>
      <c r="C8" s="38"/>
      <c r="D8" s="38"/>
      <c r="E8" s="38"/>
      <c r="F8" s="38"/>
      <c r="G8" s="38"/>
      <c r="H8" s="14">
        <v>46012</v>
      </c>
      <c r="I8" s="14">
        <v>46066</v>
      </c>
      <c r="J8" s="36">
        <v>46066</v>
      </c>
      <c r="K8" s="16">
        <v>0</v>
      </c>
      <c r="L8" s="17"/>
    </row>
    <row r="9" spans="1:12" ht="20.399999999999999" x14ac:dyDescent="0.55000000000000004">
      <c r="A9" s="49" t="s">
        <v>44</v>
      </c>
      <c r="B9" s="50"/>
      <c r="C9" s="50"/>
      <c r="D9" s="50"/>
      <c r="E9" s="50"/>
      <c r="F9" s="50"/>
      <c r="G9" s="50"/>
      <c r="H9" s="52"/>
      <c r="I9" s="52"/>
      <c r="J9" s="50"/>
      <c r="K9" s="53"/>
      <c r="L9" s="51"/>
    </row>
    <row r="10" spans="1:12" ht="21" x14ac:dyDescent="0.6">
      <c r="A10" s="38" t="s">
        <v>67</v>
      </c>
      <c r="B10" s="38"/>
      <c r="C10" s="38"/>
      <c r="D10" s="38"/>
      <c r="E10" s="38"/>
      <c r="F10" s="38"/>
      <c r="G10" s="38"/>
      <c r="H10" s="14">
        <v>46012</v>
      </c>
      <c r="I10" s="14">
        <v>46066</v>
      </c>
      <c r="J10" s="36">
        <v>46066</v>
      </c>
      <c r="K10" s="16">
        <v>0</v>
      </c>
      <c r="L10" s="17"/>
    </row>
    <row r="11" spans="1:12" ht="20.399999999999999" x14ac:dyDescent="0.55000000000000004">
      <c r="A11" s="49" t="s">
        <v>45</v>
      </c>
      <c r="B11" s="50"/>
      <c r="C11" s="50"/>
      <c r="D11" s="50"/>
      <c r="E11" s="50"/>
      <c r="F11" s="50"/>
      <c r="G11" s="50"/>
      <c r="H11" s="52"/>
      <c r="I11" s="52"/>
      <c r="J11" s="50"/>
      <c r="K11" s="53"/>
      <c r="L11" s="51"/>
    </row>
    <row r="12" spans="1:12" ht="21" x14ac:dyDescent="0.6">
      <c r="A12" s="38" t="s">
        <v>67</v>
      </c>
      <c r="B12" s="38"/>
      <c r="C12" s="38"/>
      <c r="D12" s="38"/>
      <c r="E12" s="38"/>
      <c r="F12" s="38"/>
      <c r="G12" s="38"/>
      <c r="H12" s="14">
        <v>46012</v>
      </c>
      <c r="I12" s="14">
        <v>46066</v>
      </c>
      <c r="J12" s="36">
        <v>46066</v>
      </c>
      <c r="K12" s="16">
        <v>0</v>
      </c>
      <c r="L12" s="17"/>
    </row>
    <row r="13" spans="1:12" ht="21" x14ac:dyDescent="0.6">
      <c r="A13" s="38" t="s">
        <v>67</v>
      </c>
      <c r="B13" s="38"/>
      <c r="C13" s="38"/>
      <c r="D13" s="38"/>
      <c r="E13" s="38"/>
      <c r="F13" s="38"/>
      <c r="G13" s="38"/>
      <c r="H13" s="14">
        <v>46012</v>
      </c>
      <c r="I13" s="14">
        <v>46066</v>
      </c>
      <c r="J13" s="36">
        <v>46066</v>
      </c>
      <c r="K13" s="16">
        <v>0</v>
      </c>
      <c r="L13" s="17"/>
    </row>
    <row r="14" spans="1:12" ht="20.399999999999999" x14ac:dyDescent="0.55000000000000004">
      <c r="A14" s="49" t="s">
        <v>46</v>
      </c>
      <c r="B14" s="50"/>
      <c r="C14" s="50"/>
      <c r="D14" s="50"/>
      <c r="E14" s="50"/>
      <c r="F14" s="50"/>
      <c r="G14" s="50"/>
      <c r="H14" s="52"/>
      <c r="I14" s="52"/>
      <c r="J14" s="50"/>
      <c r="K14" s="53"/>
      <c r="L14" s="51"/>
    </row>
    <row r="15" spans="1:12" ht="21" x14ac:dyDescent="0.6">
      <c r="A15" s="38" t="s">
        <v>68</v>
      </c>
      <c r="B15" s="38"/>
      <c r="C15" s="38"/>
      <c r="D15" s="38"/>
      <c r="E15" s="38"/>
      <c r="F15" s="38"/>
      <c r="G15" s="38"/>
      <c r="H15" s="14"/>
      <c r="I15" s="14"/>
      <c r="J15" s="15"/>
      <c r="K15" s="16"/>
      <c r="L15" s="17"/>
    </row>
    <row r="16" spans="1:12" ht="21" x14ac:dyDescent="0.6">
      <c r="A16" s="38"/>
      <c r="B16" s="38"/>
      <c r="C16" s="38"/>
      <c r="D16" s="38"/>
      <c r="E16" s="38"/>
      <c r="F16" s="38"/>
      <c r="G16" s="38"/>
      <c r="H16" s="14"/>
      <c r="I16" s="14"/>
      <c r="J16" s="15"/>
      <c r="K16" s="16"/>
      <c r="L16" s="17"/>
    </row>
    <row r="17" spans="1:12" ht="21" x14ac:dyDescent="0.6">
      <c r="A17" s="54"/>
      <c r="B17" s="54"/>
      <c r="C17" s="54"/>
      <c r="D17" s="54"/>
      <c r="E17" s="54"/>
      <c r="F17" s="54"/>
      <c r="G17" s="54"/>
      <c r="H17" s="18"/>
      <c r="I17" s="18"/>
      <c r="J17" s="19">
        <f>SUM(J7:J16)</f>
        <v>230274</v>
      </c>
      <c r="K17" s="20">
        <f>AVERAGE(K7:K16)</f>
        <v>0.2</v>
      </c>
      <c r="L17" s="21"/>
    </row>
  </sheetData>
  <mergeCells count="16"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96016-FDDC-4576-9E80-18EAC2CBB2D7}">
  <sheetPr>
    <tabColor theme="9" tint="0.59999389629810485"/>
  </sheetPr>
  <dimension ref="A1:L17"/>
  <sheetViews>
    <sheetView workbookViewId="0">
      <selection activeCell="A8" sqref="A8:G8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31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48" t="s">
        <v>38</v>
      </c>
      <c r="B5" s="48"/>
      <c r="C5" s="48"/>
      <c r="D5" s="48"/>
      <c r="E5" s="48"/>
      <c r="F5" s="48"/>
      <c r="G5" s="48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38" t="s">
        <v>60</v>
      </c>
      <c r="B7" s="38"/>
      <c r="C7" s="38"/>
      <c r="D7" s="38"/>
      <c r="E7" s="38"/>
      <c r="F7" s="38"/>
      <c r="G7" s="38"/>
      <c r="H7" s="14">
        <v>45995</v>
      </c>
      <c r="I7" s="14">
        <v>46011</v>
      </c>
      <c r="J7" s="36">
        <v>46010</v>
      </c>
      <c r="K7" s="16">
        <v>1</v>
      </c>
      <c r="L7" s="17"/>
    </row>
    <row r="8" spans="1:12" ht="21" x14ac:dyDescent="0.6">
      <c r="A8" s="38" t="s">
        <v>67</v>
      </c>
      <c r="B8" s="38"/>
      <c r="C8" s="38"/>
      <c r="D8" s="38"/>
      <c r="E8" s="38"/>
      <c r="F8" s="38"/>
      <c r="G8" s="38"/>
      <c r="H8" s="14">
        <v>46012</v>
      </c>
      <c r="I8" s="14">
        <v>46066</v>
      </c>
      <c r="J8" s="36">
        <v>46066</v>
      </c>
      <c r="K8" s="16">
        <v>0</v>
      </c>
      <c r="L8" s="17"/>
    </row>
    <row r="9" spans="1:12" ht="20.399999999999999" x14ac:dyDescent="0.55000000000000004">
      <c r="A9" s="49" t="s">
        <v>44</v>
      </c>
      <c r="B9" s="50"/>
      <c r="C9" s="50"/>
      <c r="D9" s="50"/>
      <c r="E9" s="50"/>
      <c r="F9" s="50"/>
      <c r="G9" s="50"/>
      <c r="H9" s="52"/>
      <c r="I9" s="52"/>
      <c r="J9" s="50"/>
      <c r="K9" s="53"/>
      <c r="L9" s="51"/>
    </row>
    <row r="10" spans="1:12" ht="21" x14ac:dyDescent="0.6">
      <c r="A10" s="38" t="s">
        <v>67</v>
      </c>
      <c r="B10" s="38"/>
      <c r="C10" s="38"/>
      <c r="D10" s="38"/>
      <c r="E10" s="38"/>
      <c r="F10" s="38"/>
      <c r="G10" s="38"/>
      <c r="H10" s="14">
        <v>46012</v>
      </c>
      <c r="I10" s="14">
        <v>46066</v>
      </c>
      <c r="J10" s="36">
        <v>46066</v>
      </c>
      <c r="K10" s="16">
        <v>0</v>
      </c>
      <c r="L10" s="17"/>
    </row>
    <row r="11" spans="1:12" ht="20.399999999999999" x14ac:dyDescent="0.55000000000000004">
      <c r="A11" s="49" t="s">
        <v>45</v>
      </c>
      <c r="B11" s="50"/>
      <c r="C11" s="50"/>
      <c r="D11" s="50"/>
      <c r="E11" s="50"/>
      <c r="F11" s="50"/>
      <c r="G11" s="50"/>
      <c r="H11" s="52"/>
      <c r="I11" s="52"/>
      <c r="J11" s="50"/>
      <c r="K11" s="53"/>
      <c r="L11" s="51"/>
    </row>
    <row r="12" spans="1:12" ht="21" x14ac:dyDescent="0.6">
      <c r="A12" s="38" t="s">
        <v>67</v>
      </c>
      <c r="B12" s="38"/>
      <c r="C12" s="38"/>
      <c r="D12" s="38"/>
      <c r="E12" s="38"/>
      <c r="F12" s="38"/>
      <c r="G12" s="38"/>
      <c r="H12" s="14">
        <v>46012</v>
      </c>
      <c r="I12" s="14">
        <v>46066</v>
      </c>
      <c r="J12" s="36">
        <v>46066</v>
      </c>
      <c r="K12" s="16">
        <v>0</v>
      </c>
      <c r="L12" s="17"/>
    </row>
    <row r="13" spans="1:12" ht="21" x14ac:dyDescent="0.6">
      <c r="A13" s="38" t="s">
        <v>67</v>
      </c>
      <c r="B13" s="38"/>
      <c r="C13" s="38"/>
      <c r="D13" s="38"/>
      <c r="E13" s="38"/>
      <c r="F13" s="38"/>
      <c r="G13" s="38"/>
      <c r="H13" s="14">
        <v>46012</v>
      </c>
      <c r="I13" s="14">
        <v>46066</v>
      </c>
      <c r="J13" s="36">
        <v>46066</v>
      </c>
      <c r="K13" s="16">
        <v>0</v>
      </c>
      <c r="L13" s="17"/>
    </row>
    <row r="14" spans="1:12" ht="20.399999999999999" x14ac:dyDescent="0.55000000000000004">
      <c r="A14" s="49" t="s">
        <v>46</v>
      </c>
      <c r="B14" s="50"/>
      <c r="C14" s="50"/>
      <c r="D14" s="50"/>
      <c r="E14" s="50"/>
      <c r="F14" s="50"/>
      <c r="G14" s="50"/>
      <c r="H14" s="52"/>
      <c r="I14" s="52"/>
      <c r="J14" s="50"/>
      <c r="K14" s="53"/>
      <c r="L14" s="51"/>
    </row>
    <row r="15" spans="1:12" ht="21" x14ac:dyDescent="0.6">
      <c r="A15" s="38" t="s">
        <v>68</v>
      </c>
      <c r="B15" s="38"/>
      <c r="C15" s="38"/>
      <c r="D15" s="38"/>
      <c r="E15" s="38"/>
      <c r="F15" s="38"/>
      <c r="G15" s="38"/>
      <c r="H15" s="14"/>
      <c r="I15" s="14"/>
      <c r="J15" s="15"/>
      <c r="K15" s="16"/>
      <c r="L15" s="17"/>
    </row>
    <row r="16" spans="1:12" ht="21" x14ac:dyDescent="0.6">
      <c r="A16" s="38"/>
      <c r="B16" s="38"/>
      <c r="C16" s="38"/>
      <c r="D16" s="38"/>
      <c r="E16" s="38"/>
      <c r="F16" s="38"/>
      <c r="G16" s="38"/>
      <c r="H16" s="14"/>
      <c r="I16" s="14"/>
      <c r="J16" s="15"/>
      <c r="K16" s="16"/>
      <c r="L16" s="17"/>
    </row>
    <row r="17" spans="1:12" ht="21" x14ac:dyDescent="0.6">
      <c r="A17" s="54"/>
      <c r="B17" s="54"/>
      <c r="C17" s="54"/>
      <c r="D17" s="54"/>
      <c r="E17" s="54"/>
      <c r="F17" s="54"/>
      <c r="G17" s="54"/>
      <c r="H17" s="18"/>
      <c r="I17" s="18"/>
      <c r="J17" s="19">
        <f>SUM(J7:J16)</f>
        <v>230274</v>
      </c>
      <c r="K17" s="20">
        <f>AVERAGE(K7:K16)</f>
        <v>0.2</v>
      </c>
      <c r="L17" s="21"/>
    </row>
  </sheetData>
  <mergeCells count="16"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C41A7-C961-4714-ACBD-52A6B9A6A8AF}">
  <sheetPr>
    <tabColor theme="8" tint="0.59999389629810485"/>
  </sheetPr>
  <dimension ref="A2:L34"/>
  <sheetViews>
    <sheetView workbookViewId="0">
      <selection activeCell="F7" sqref="F7"/>
    </sheetView>
  </sheetViews>
  <sheetFormatPr defaultRowHeight="13.8" x14ac:dyDescent="0.25"/>
  <cols>
    <col min="2" max="2" width="31.69921875" bestFit="1" customWidth="1"/>
    <col min="4" max="5" width="12.09765625" customWidth="1"/>
    <col min="6" max="6" width="8.796875" style="28"/>
    <col min="7" max="7" width="25.5" customWidth="1"/>
  </cols>
  <sheetData>
    <row r="2" spans="1:12" x14ac:dyDescent="0.25">
      <c r="A2" t="s">
        <v>50</v>
      </c>
    </row>
    <row r="3" spans="1:12" x14ac:dyDescent="0.25">
      <c r="A3" s="6" t="s">
        <v>14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9</v>
      </c>
      <c r="G3" s="6" t="s">
        <v>23</v>
      </c>
    </row>
    <row r="4" spans="1:12" x14ac:dyDescent="0.25">
      <c r="A4" s="24">
        <v>1</v>
      </c>
      <c r="B4" s="29" t="s">
        <v>48</v>
      </c>
      <c r="C4" s="6">
        <v>8</v>
      </c>
      <c r="D4" s="34">
        <v>45985</v>
      </c>
      <c r="E4" s="34">
        <v>45964</v>
      </c>
      <c r="F4" s="35">
        <v>1</v>
      </c>
      <c r="G4" s="5"/>
      <c r="H4" s="31"/>
      <c r="I4" s="32"/>
      <c r="J4" s="28"/>
      <c r="K4" s="27"/>
      <c r="L4" s="27"/>
    </row>
    <row r="5" spans="1:12" x14ac:dyDescent="0.25">
      <c r="A5" s="6">
        <v>2</v>
      </c>
      <c r="B5" s="5" t="s">
        <v>24</v>
      </c>
      <c r="C5" s="6">
        <v>10</v>
      </c>
      <c r="D5" s="34">
        <v>45995</v>
      </c>
      <c r="E5" s="34">
        <v>46010</v>
      </c>
      <c r="F5" s="35">
        <v>1</v>
      </c>
      <c r="G5" s="5"/>
      <c r="H5" s="28"/>
      <c r="J5" s="28"/>
      <c r="K5" s="27"/>
      <c r="L5" s="27"/>
    </row>
    <row r="6" spans="1:12" x14ac:dyDescent="0.25">
      <c r="A6" s="6">
        <v>3</v>
      </c>
      <c r="B6" s="5" t="s">
        <v>25</v>
      </c>
      <c r="C6" s="6">
        <v>1</v>
      </c>
      <c r="D6" s="34">
        <v>46010</v>
      </c>
      <c r="E6" s="34">
        <v>46010</v>
      </c>
      <c r="F6" s="35">
        <v>1</v>
      </c>
      <c r="G6" s="5"/>
      <c r="H6" s="28"/>
      <c r="J6" s="28"/>
      <c r="K6" s="27"/>
      <c r="L6" s="27"/>
    </row>
    <row r="7" spans="1:12" x14ac:dyDescent="0.25">
      <c r="A7" s="6">
        <v>4</v>
      </c>
      <c r="B7" s="5" t="s">
        <v>26</v>
      </c>
      <c r="C7" s="6">
        <v>36</v>
      </c>
      <c r="D7" s="34">
        <v>46013</v>
      </c>
      <c r="E7" s="34">
        <v>46066</v>
      </c>
      <c r="F7" s="35">
        <f>AVERAGE(F8:F10)</f>
        <v>0</v>
      </c>
      <c r="G7" s="5"/>
      <c r="H7" s="28"/>
      <c r="J7" s="28"/>
      <c r="K7" s="27"/>
      <c r="L7" s="27"/>
    </row>
    <row r="8" spans="1:12" x14ac:dyDescent="0.25">
      <c r="A8" s="6"/>
      <c r="B8" s="30" t="s">
        <v>32</v>
      </c>
      <c r="C8" s="6"/>
      <c r="D8" s="34"/>
      <c r="E8" s="34"/>
      <c r="F8" s="35">
        <v>0</v>
      </c>
      <c r="G8" s="5"/>
      <c r="H8" s="28"/>
      <c r="I8" s="33"/>
      <c r="J8" s="28"/>
      <c r="K8" s="27"/>
      <c r="L8" s="27"/>
    </row>
    <row r="9" spans="1:12" x14ac:dyDescent="0.25">
      <c r="A9" s="6"/>
      <c r="B9" s="30" t="s">
        <v>34</v>
      </c>
      <c r="C9" s="6"/>
      <c r="D9" s="34"/>
      <c r="E9" s="34"/>
      <c r="F9" s="35">
        <v>0</v>
      </c>
      <c r="G9" s="5"/>
      <c r="H9" s="28"/>
      <c r="I9" s="33"/>
      <c r="J9" s="28"/>
      <c r="K9" s="27"/>
      <c r="L9" s="27"/>
    </row>
    <row r="10" spans="1:12" x14ac:dyDescent="0.25">
      <c r="A10" s="6"/>
      <c r="B10" s="30" t="s">
        <v>33</v>
      </c>
      <c r="C10" s="6"/>
      <c r="D10" s="34"/>
      <c r="E10" s="34"/>
      <c r="F10" s="35">
        <v>0</v>
      </c>
      <c r="G10" s="5"/>
      <c r="H10" s="28"/>
      <c r="I10" s="33"/>
      <c r="J10" s="28"/>
      <c r="K10" s="27"/>
      <c r="L10" s="27"/>
    </row>
    <row r="11" spans="1:12" x14ac:dyDescent="0.25">
      <c r="A11" s="6">
        <v>5</v>
      </c>
      <c r="B11" s="5" t="s">
        <v>27</v>
      </c>
      <c r="C11" s="6">
        <v>5</v>
      </c>
      <c r="D11" s="34">
        <v>46069</v>
      </c>
      <c r="E11" s="34">
        <v>46073</v>
      </c>
      <c r="F11" s="35">
        <v>0</v>
      </c>
      <c r="G11" s="5"/>
      <c r="H11" s="28"/>
      <c r="J11" s="28"/>
      <c r="K11" s="27"/>
      <c r="L11" s="27"/>
    </row>
    <row r="12" spans="1:12" x14ac:dyDescent="0.25">
      <c r="A12" s="6">
        <v>6</v>
      </c>
      <c r="B12" s="5" t="s">
        <v>28</v>
      </c>
      <c r="C12" s="6">
        <v>5</v>
      </c>
      <c r="D12" s="34">
        <v>46076</v>
      </c>
      <c r="E12" s="34">
        <v>46080</v>
      </c>
      <c r="F12" s="35">
        <v>0</v>
      </c>
      <c r="G12" s="5"/>
      <c r="H12" s="28"/>
      <c r="J12" s="28"/>
      <c r="K12" s="27"/>
      <c r="L12" s="27"/>
    </row>
    <row r="13" spans="1:12" x14ac:dyDescent="0.25">
      <c r="A13" s="6">
        <v>7</v>
      </c>
      <c r="B13" s="5" t="s">
        <v>47</v>
      </c>
      <c r="C13" s="6">
        <v>2</v>
      </c>
      <c r="D13" s="34">
        <v>46083</v>
      </c>
      <c r="E13" s="34">
        <v>46084</v>
      </c>
      <c r="F13" s="35">
        <v>0</v>
      </c>
      <c r="G13" s="5"/>
      <c r="H13" s="28"/>
      <c r="J13" s="28"/>
      <c r="K13" s="27"/>
      <c r="L13" s="27"/>
    </row>
    <row r="14" spans="1:12" x14ac:dyDescent="0.25">
      <c r="A14" s="6">
        <v>8</v>
      </c>
      <c r="B14" s="5" t="s">
        <v>29</v>
      </c>
      <c r="C14" s="6"/>
      <c r="D14" s="34">
        <v>46086</v>
      </c>
      <c r="E14" s="34">
        <v>46086</v>
      </c>
      <c r="F14" s="35">
        <v>0</v>
      </c>
      <c r="G14" s="5"/>
      <c r="H14" s="28"/>
      <c r="J14" s="28"/>
      <c r="K14" s="27"/>
      <c r="L14" s="27"/>
    </row>
    <row r="15" spans="1:12" x14ac:dyDescent="0.25">
      <c r="A15" s="28"/>
      <c r="D15" s="27"/>
      <c r="E15" s="27"/>
      <c r="H15" s="28"/>
      <c r="J15" s="28"/>
      <c r="K15" s="27"/>
      <c r="L15" s="27"/>
    </row>
    <row r="16" spans="1:12" x14ac:dyDescent="0.25">
      <c r="H16" s="28"/>
      <c r="J16" s="28"/>
      <c r="K16" s="27"/>
      <c r="L16" s="27"/>
    </row>
    <row r="17" spans="1:12" x14ac:dyDescent="0.25">
      <c r="H17" s="28"/>
      <c r="J17" s="28"/>
      <c r="K17" s="27"/>
      <c r="L17" s="27"/>
    </row>
    <row r="18" spans="1:12" x14ac:dyDescent="0.25">
      <c r="H18" s="28"/>
      <c r="J18" s="28"/>
      <c r="K18" s="27"/>
      <c r="L18" s="27"/>
    </row>
    <row r="19" spans="1:12" x14ac:dyDescent="0.25">
      <c r="A19" s="28"/>
      <c r="D19" s="27"/>
      <c r="E19" s="27"/>
    </row>
    <row r="20" spans="1:12" x14ac:dyDescent="0.25">
      <c r="A20" s="28"/>
      <c r="D20" s="27"/>
      <c r="E20" s="27"/>
    </row>
    <row r="21" spans="1:12" x14ac:dyDescent="0.25">
      <c r="A21" s="28"/>
    </row>
    <row r="22" spans="1:12" x14ac:dyDescent="0.25">
      <c r="A22" s="28"/>
    </row>
    <row r="23" spans="1:12" x14ac:dyDescent="0.25">
      <c r="A23" s="28"/>
    </row>
    <row r="24" spans="1:12" x14ac:dyDescent="0.25">
      <c r="A24" s="28"/>
    </row>
    <row r="29" spans="1:12" x14ac:dyDescent="0.25">
      <c r="A29" s="28"/>
      <c r="D29" s="27"/>
      <c r="E29" s="27"/>
    </row>
    <row r="30" spans="1:12" x14ac:dyDescent="0.25">
      <c r="A30" s="28"/>
      <c r="D30" s="27"/>
      <c r="E30" s="27"/>
    </row>
    <row r="31" spans="1:12" x14ac:dyDescent="0.25">
      <c r="A31" s="28"/>
    </row>
    <row r="32" spans="1:12" x14ac:dyDescent="0.25">
      <c r="A32" s="28"/>
    </row>
    <row r="33" spans="1:1" x14ac:dyDescent="0.25">
      <c r="A33" s="28"/>
    </row>
    <row r="34" spans="1:1" x14ac:dyDescent="0.25">
      <c r="A34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FB44-6C51-43C5-BD88-41FB16328B4C}">
  <sheetPr>
    <tabColor theme="8" tint="0.59999389629810485"/>
  </sheetPr>
  <dimension ref="A1:L17"/>
  <sheetViews>
    <sheetView workbookViewId="0">
      <selection activeCell="A9" sqref="A9:L9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32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48" t="s">
        <v>38</v>
      </c>
      <c r="B5" s="48"/>
      <c r="C5" s="48"/>
      <c r="D5" s="48"/>
      <c r="E5" s="48"/>
      <c r="F5" s="48"/>
      <c r="G5" s="48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38"/>
      <c r="B7" s="38"/>
      <c r="C7" s="38"/>
      <c r="D7" s="38"/>
      <c r="E7" s="38"/>
      <c r="F7" s="38"/>
      <c r="G7" s="38"/>
      <c r="H7" s="14"/>
      <c r="I7" s="14"/>
      <c r="J7" s="15"/>
      <c r="K7" s="16"/>
      <c r="L7" s="17"/>
    </row>
    <row r="8" spans="1:12" ht="21" x14ac:dyDescent="0.6">
      <c r="A8" s="38"/>
      <c r="B8" s="38"/>
      <c r="C8" s="38"/>
      <c r="D8" s="38"/>
      <c r="E8" s="38"/>
      <c r="F8" s="38"/>
      <c r="G8" s="38"/>
      <c r="H8" s="14"/>
      <c r="I8" s="14"/>
      <c r="J8" s="15"/>
      <c r="K8" s="16"/>
      <c r="L8" s="17"/>
    </row>
    <row r="9" spans="1:12" ht="20.399999999999999" x14ac:dyDescent="0.55000000000000004">
      <c r="A9" s="49" t="s">
        <v>44</v>
      </c>
      <c r="B9" s="50"/>
      <c r="C9" s="50"/>
      <c r="D9" s="50"/>
      <c r="E9" s="50"/>
      <c r="F9" s="50"/>
      <c r="G9" s="50"/>
      <c r="H9" s="52"/>
      <c r="I9" s="52"/>
      <c r="J9" s="50"/>
      <c r="K9" s="53"/>
      <c r="L9" s="51"/>
    </row>
    <row r="10" spans="1:12" ht="21" x14ac:dyDescent="0.6">
      <c r="A10" s="38"/>
      <c r="B10" s="38"/>
      <c r="C10" s="38"/>
      <c r="D10" s="38"/>
      <c r="E10" s="38"/>
      <c r="F10" s="38"/>
      <c r="G10" s="38"/>
      <c r="H10" s="14"/>
      <c r="I10" s="14"/>
      <c r="J10" s="15"/>
      <c r="K10" s="16"/>
      <c r="L10" s="17"/>
    </row>
    <row r="11" spans="1:12" ht="20.399999999999999" x14ac:dyDescent="0.55000000000000004">
      <c r="A11" s="49" t="s">
        <v>45</v>
      </c>
      <c r="B11" s="50"/>
      <c r="C11" s="50"/>
      <c r="D11" s="50"/>
      <c r="E11" s="50"/>
      <c r="F11" s="50"/>
      <c r="G11" s="50"/>
      <c r="H11" s="52"/>
      <c r="I11" s="52"/>
      <c r="J11" s="50"/>
      <c r="K11" s="53"/>
      <c r="L11" s="51"/>
    </row>
    <row r="12" spans="1:12" ht="21" x14ac:dyDescent="0.6">
      <c r="A12" s="38"/>
      <c r="B12" s="38"/>
      <c r="C12" s="38"/>
      <c r="D12" s="38"/>
      <c r="E12" s="38"/>
      <c r="F12" s="38"/>
      <c r="G12" s="38"/>
      <c r="H12" s="14"/>
      <c r="I12" s="14"/>
      <c r="J12" s="15"/>
      <c r="K12" s="16"/>
      <c r="L12" s="17"/>
    </row>
    <row r="13" spans="1:12" ht="21" x14ac:dyDescent="0.6">
      <c r="A13" s="38"/>
      <c r="B13" s="38"/>
      <c r="C13" s="38"/>
      <c r="D13" s="38"/>
      <c r="E13" s="38"/>
      <c r="F13" s="38"/>
      <c r="G13" s="38"/>
      <c r="H13" s="14"/>
      <c r="I13" s="14"/>
      <c r="J13" s="15"/>
      <c r="K13" s="16"/>
      <c r="L13" s="17"/>
    </row>
    <row r="14" spans="1:12" ht="20.399999999999999" x14ac:dyDescent="0.55000000000000004">
      <c r="A14" s="49" t="s">
        <v>46</v>
      </c>
      <c r="B14" s="50"/>
      <c r="C14" s="50"/>
      <c r="D14" s="50"/>
      <c r="E14" s="50"/>
      <c r="F14" s="50"/>
      <c r="G14" s="50"/>
      <c r="H14" s="52"/>
      <c r="I14" s="52"/>
      <c r="J14" s="50"/>
      <c r="K14" s="53"/>
      <c r="L14" s="51"/>
    </row>
    <row r="15" spans="1:12" ht="21" x14ac:dyDescent="0.6">
      <c r="A15" s="38"/>
      <c r="B15" s="38"/>
      <c r="C15" s="38"/>
      <c r="D15" s="38"/>
      <c r="E15" s="38"/>
      <c r="F15" s="38"/>
      <c r="G15" s="38"/>
      <c r="H15" s="14"/>
      <c r="I15" s="14"/>
      <c r="J15" s="15"/>
      <c r="K15" s="16"/>
      <c r="L15" s="17"/>
    </row>
    <row r="16" spans="1:12" ht="21" x14ac:dyDescent="0.6">
      <c r="A16" s="38"/>
      <c r="B16" s="38"/>
      <c r="C16" s="38"/>
      <c r="D16" s="38"/>
      <c r="E16" s="38"/>
      <c r="F16" s="38"/>
      <c r="G16" s="38"/>
      <c r="H16" s="14"/>
      <c r="I16" s="14"/>
      <c r="J16" s="15"/>
      <c r="K16" s="16"/>
      <c r="L16" s="17"/>
    </row>
    <row r="17" spans="1:12" ht="21" x14ac:dyDescent="0.6">
      <c r="A17" s="54"/>
      <c r="B17" s="54"/>
      <c r="C17" s="54"/>
      <c r="D17" s="54"/>
      <c r="E17" s="54"/>
      <c r="F17" s="54"/>
      <c r="G17" s="54"/>
      <c r="H17" s="18"/>
      <c r="I17" s="18"/>
      <c r="J17" s="19">
        <f>SUM(J7:J16)</f>
        <v>0</v>
      </c>
      <c r="K17" s="20" t="e">
        <f>AVERAGE(K7:K16)</f>
        <v>#DIV/0!</v>
      </c>
      <c r="L17" s="21"/>
    </row>
  </sheetData>
  <mergeCells count="16"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8E744-758E-4815-88AD-7AFA77A29021}">
  <sheetPr>
    <tabColor theme="8" tint="0.59999389629810485"/>
  </sheetPr>
  <dimension ref="A1:L17"/>
  <sheetViews>
    <sheetView workbookViewId="0">
      <selection activeCell="O10" sqref="O10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34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48" t="s">
        <v>38</v>
      </c>
      <c r="B5" s="48"/>
      <c r="C5" s="48"/>
      <c r="D5" s="48"/>
      <c r="E5" s="48"/>
      <c r="F5" s="48"/>
      <c r="G5" s="48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38"/>
      <c r="B7" s="38"/>
      <c r="C7" s="38"/>
      <c r="D7" s="38"/>
      <c r="E7" s="38"/>
      <c r="F7" s="38"/>
      <c r="G7" s="38"/>
      <c r="H7" s="14"/>
      <c r="I7" s="14"/>
      <c r="J7" s="15"/>
      <c r="K7" s="16"/>
      <c r="L7" s="17"/>
    </row>
    <row r="8" spans="1:12" ht="21" x14ac:dyDescent="0.6">
      <c r="A8" s="38"/>
      <c r="B8" s="38"/>
      <c r="C8" s="38"/>
      <c r="D8" s="38"/>
      <c r="E8" s="38"/>
      <c r="F8" s="38"/>
      <c r="G8" s="38"/>
      <c r="H8" s="14"/>
      <c r="I8" s="14"/>
      <c r="J8" s="15"/>
      <c r="K8" s="16"/>
      <c r="L8" s="17"/>
    </row>
    <row r="9" spans="1:12" ht="20.399999999999999" x14ac:dyDescent="0.55000000000000004">
      <c r="A9" s="49" t="s">
        <v>44</v>
      </c>
      <c r="B9" s="50"/>
      <c r="C9" s="50"/>
      <c r="D9" s="50"/>
      <c r="E9" s="50"/>
      <c r="F9" s="50"/>
      <c r="G9" s="50"/>
      <c r="H9" s="52"/>
      <c r="I9" s="52"/>
      <c r="J9" s="50"/>
      <c r="K9" s="53"/>
      <c r="L9" s="51"/>
    </row>
    <row r="10" spans="1:12" ht="21" x14ac:dyDescent="0.6">
      <c r="A10" s="38"/>
      <c r="B10" s="38"/>
      <c r="C10" s="38"/>
      <c r="D10" s="38"/>
      <c r="E10" s="38"/>
      <c r="F10" s="38"/>
      <c r="G10" s="38"/>
      <c r="H10" s="14"/>
      <c r="I10" s="14"/>
      <c r="J10" s="15"/>
      <c r="K10" s="16"/>
      <c r="L10" s="17"/>
    </row>
    <row r="11" spans="1:12" ht="20.399999999999999" x14ac:dyDescent="0.55000000000000004">
      <c r="A11" s="49" t="s">
        <v>45</v>
      </c>
      <c r="B11" s="50"/>
      <c r="C11" s="50"/>
      <c r="D11" s="50"/>
      <c r="E11" s="50"/>
      <c r="F11" s="50"/>
      <c r="G11" s="50"/>
      <c r="H11" s="52"/>
      <c r="I11" s="52"/>
      <c r="J11" s="50"/>
      <c r="K11" s="53"/>
      <c r="L11" s="51"/>
    </row>
    <row r="12" spans="1:12" ht="21" x14ac:dyDescent="0.6">
      <c r="A12" s="38"/>
      <c r="B12" s="38"/>
      <c r="C12" s="38"/>
      <c r="D12" s="38"/>
      <c r="E12" s="38"/>
      <c r="F12" s="38"/>
      <c r="G12" s="38"/>
      <c r="H12" s="14"/>
      <c r="I12" s="14"/>
      <c r="J12" s="15"/>
      <c r="K12" s="16"/>
      <c r="L12" s="17"/>
    </row>
    <row r="13" spans="1:12" ht="21" x14ac:dyDescent="0.6">
      <c r="A13" s="38"/>
      <c r="B13" s="38"/>
      <c r="C13" s="38"/>
      <c r="D13" s="38"/>
      <c r="E13" s="38"/>
      <c r="F13" s="38"/>
      <c r="G13" s="38"/>
      <c r="H13" s="14"/>
      <c r="I13" s="14"/>
      <c r="J13" s="15"/>
      <c r="K13" s="16"/>
      <c r="L13" s="17"/>
    </row>
    <row r="14" spans="1:12" ht="20.399999999999999" x14ac:dyDescent="0.55000000000000004">
      <c r="A14" s="49" t="s">
        <v>46</v>
      </c>
      <c r="B14" s="50"/>
      <c r="C14" s="50"/>
      <c r="D14" s="50"/>
      <c r="E14" s="50"/>
      <c r="F14" s="50"/>
      <c r="G14" s="50"/>
      <c r="H14" s="52"/>
      <c r="I14" s="52"/>
      <c r="J14" s="50"/>
      <c r="K14" s="53"/>
      <c r="L14" s="51"/>
    </row>
    <row r="15" spans="1:12" ht="21" x14ac:dyDescent="0.6">
      <c r="A15" s="38"/>
      <c r="B15" s="38"/>
      <c r="C15" s="38"/>
      <c r="D15" s="38"/>
      <c r="E15" s="38"/>
      <c r="F15" s="38"/>
      <c r="G15" s="38"/>
      <c r="H15" s="14"/>
      <c r="I15" s="14"/>
      <c r="J15" s="15"/>
      <c r="K15" s="16"/>
      <c r="L15" s="17"/>
    </row>
    <row r="16" spans="1:12" ht="21" x14ac:dyDescent="0.6">
      <c r="A16" s="38"/>
      <c r="B16" s="38"/>
      <c r="C16" s="38"/>
      <c r="D16" s="38"/>
      <c r="E16" s="38"/>
      <c r="F16" s="38"/>
      <c r="G16" s="38"/>
      <c r="H16" s="14"/>
      <c r="I16" s="14"/>
      <c r="J16" s="15"/>
      <c r="K16" s="16"/>
      <c r="L16" s="17"/>
    </row>
    <row r="17" spans="1:12" ht="21" x14ac:dyDescent="0.6">
      <c r="A17" s="54"/>
      <c r="B17" s="54"/>
      <c r="C17" s="54"/>
      <c r="D17" s="54"/>
      <c r="E17" s="54"/>
      <c r="F17" s="54"/>
      <c r="G17" s="54"/>
      <c r="H17" s="18"/>
      <c r="I17" s="18"/>
      <c r="J17" s="19">
        <f>SUM(J7:J16)</f>
        <v>0</v>
      </c>
      <c r="K17" s="20" t="e">
        <f>AVERAGE(K7:K16)</f>
        <v>#DIV/0!</v>
      </c>
      <c r="L17" s="21"/>
    </row>
  </sheetData>
  <mergeCells count="16"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420A-6D1A-4206-B07A-4AE720272C8D}">
  <sheetPr>
    <tabColor theme="8" tint="0.59999389629810485"/>
  </sheetPr>
  <dimension ref="A1:L17"/>
  <sheetViews>
    <sheetView workbookViewId="0">
      <selection activeCell="J21" sqref="J21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39" t="s">
        <v>35</v>
      </c>
      <c r="B1" s="40"/>
      <c r="C1" s="40"/>
      <c r="D1" s="40"/>
      <c r="E1" s="40"/>
      <c r="F1" s="40"/>
      <c r="G1" s="41"/>
      <c r="H1" s="7"/>
      <c r="I1" s="8"/>
      <c r="K1" s="10"/>
    </row>
    <row r="2" spans="1:12" ht="20.399999999999999" x14ac:dyDescent="0.55000000000000004">
      <c r="A2" s="11" t="s">
        <v>36</v>
      </c>
      <c r="B2" s="42" t="s">
        <v>33</v>
      </c>
      <c r="C2" s="43"/>
      <c r="D2" s="43"/>
      <c r="E2" s="43"/>
      <c r="F2" s="43"/>
      <c r="G2" s="44"/>
      <c r="H2" s="7"/>
      <c r="I2" s="8"/>
      <c r="K2" s="10"/>
    </row>
    <row r="3" spans="1:12" ht="20.399999999999999" x14ac:dyDescent="0.55000000000000004">
      <c r="A3" s="11" t="s">
        <v>37</v>
      </c>
      <c r="B3" s="45">
        <v>1</v>
      </c>
      <c r="C3" s="46"/>
      <c r="D3" s="46"/>
      <c r="E3" s="46"/>
      <c r="F3" s="46"/>
      <c r="G3" s="47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48" t="s">
        <v>38</v>
      </c>
      <c r="B5" s="48"/>
      <c r="C5" s="48"/>
      <c r="D5" s="48"/>
      <c r="E5" s="48"/>
      <c r="F5" s="48"/>
      <c r="G5" s="48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49" t="s">
        <v>43</v>
      </c>
      <c r="B6" s="50"/>
      <c r="C6" s="50"/>
      <c r="D6" s="50"/>
      <c r="E6" s="50"/>
      <c r="F6" s="50"/>
      <c r="G6" s="50"/>
      <c r="H6" s="50"/>
      <c r="I6" s="50"/>
      <c r="J6" s="50"/>
      <c r="K6" s="50"/>
      <c r="L6" s="51"/>
    </row>
    <row r="7" spans="1:12" ht="21" x14ac:dyDescent="0.6">
      <c r="A7" s="38"/>
      <c r="B7" s="38"/>
      <c r="C7" s="38"/>
      <c r="D7" s="38"/>
      <c r="E7" s="38"/>
      <c r="F7" s="38"/>
      <c r="G7" s="38"/>
      <c r="H7" s="14"/>
      <c r="I7" s="14"/>
      <c r="J7" s="15"/>
      <c r="K7" s="16"/>
      <c r="L7" s="17"/>
    </row>
    <row r="8" spans="1:12" ht="21" x14ac:dyDescent="0.6">
      <c r="A8" s="38"/>
      <c r="B8" s="38"/>
      <c r="C8" s="38"/>
      <c r="D8" s="38"/>
      <c r="E8" s="38"/>
      <c r="F8" s="38"/>
      <c r="G8" s="38"/>
      <c r="H8" s="14"/>
      <c r="I8" s="14"/>
      <c r="J8" s="15"/>
      <c r="K8" s="16"/>
      <c r="L8" s="17"/>
    </row>
    <row r="9" spans="1:12" ht="20.399999999999999" x14ac:dyDescent="0.55000000000000004">
      <c r="A9" s="49" t="s">
        <v>44</v>
      </c>
      <c r="B9" s="50"/>
      <c r="C9" s="50"/>
      <c r="D9" s="50"/>
      <c r="E9" s="50"/>
      <c r="F9" s="50"/>
      <c r="G9" s="50"/>
      <c r="H9" s="52"/>
      <c r="I9" s="52"/>
      <c r="J9" s="50"/>
      <c r="K9" s="53"/>
      <c r="L9" s="51"/>
    </row>
    <row r="10" spans="1:12" ht="21" x14ac:dyDescent="0.6">
      <c r="A10" s="38"/>
      <c r="B10" s="38"/>
      <c r="C10" s="38"/>
      <c r="D10" s="38"/>
      <c r="E10" s="38"/>
      <c r="F10" s="38"/>
      <c r="G10" s="38"/>
      <c r="H10" s="14"/>
      <c r="I10" s="14"/>
      <c r="J10" s="15"/>
      <c r="K10" s="16"/>
      <c r="L10" s="17"/>
    </row>
    <row r="11" spans="1:12" ht="20.399999999999999" x14ac:dyDescent="0.55000000000000004">
      <c r="A11" s="49" t="s">
        <v>45</v>
      </c>
      <c r="B11" s="50"/>
      <c r="C11" s="50"/>
      <c r="D11" s="50"/>
      <c r="E11" s="50"/>
      <c r="F11" s="50"/>
      <c r="G11" s="50"/>
      <c r="H11" s="52"/>
      <c r="I11" s="52"/>
      <c r="J11" s="50"/>
      <c r="K11" s="53"/>
      <c r="L11" s="51"/>
    </row>
    <row r="12" spans="1:12" ht="21" x14ac:dyDescent="0.6">
      <c r="A12" s="38"/>
      <c r="B12" s="38"/>
      <c r="C12" s="38"/>
      <c r="D12" s="38"/>
      <c r="E12" s="38"/>
      <c r="F12" s="38"/>
      <c r="G12" s="38"/>
      <c r="H12" s="14"/>
      <c r="I12" s="14"/>
      <c r="J12" s="15"/>
      <c r="K12" s="16"/>
      <c r="L12" s="17"/>
    </row>
    <row r="13" spans="1:12" ht="21" x14ac:dyDescent="0.6">
      <c r="A13" s="38"/>
      <c r="B13" s="38"/>
      <c r="C13" s="38"/>
      <c r="D13" s="38"/>
      <c r="E13" s="38"/>
      <c r="F13" s="38"/>
      <c r="G13" s="38"/>
      <c r="H13" s="14"/>
      <c r="I13" s="14"/>
      <c r="J13" s="15"/>
      <c r="K13" s="16"/>
      <c r="L13" s="17"/>
    </row>
    <row r="14" spans="1:12" ht="20.399999999999999" x14ac:dyDescent="0.55000000000000004">
      <c r="A14" s="49" t="s">
        <v>46</v>
      </c>
      <c r="B14" s="50"/>
      <c r="C14" s="50"/>
      <c r="D14" s="50"/>
      <c r="E14" s="50"/>
      <c r="F14" s="50"/>
      <c r="G14" s="50"/>
      <c r="H14" s="52"/>
      <c r="I14" s="52"/>
      <c r="J14" s="50"/>
      <c r="K14" s="53"/>
      <c r="L14" s="51"/>
    </row>
    <row r="15" spans="1:12" ht="21" x14ac:dyDescent="0.6">
      <c r="A15" s="38"/>
      <c r="B15" s="38"/>
      <c r="C15" s="38"/>
      <c r="D15" s="38"/>
      <c r="E15" s="38"/>
      <c r="F15" s="38"/>
      <c r="G15" s="38"/>
      <c r="H15" s="14"/>
      <c r="I15" s="14"/>
      <c r="J15" s="15"/>
      <c r="K15" s="16"/>
      <c r="L15" s="17"/>
    </row>
    <row r="16" spans="1:12" ht="21" x14ac:dyDescent="0.6">
      <c r="A16" s="38"/>
      <c r="B16" s="38"/>
      <c r="C16" s="38"/>
      <c r="D16" s="38"/>
      <c r="E16" s="38"/>
      <c r="F16" s="38"/>
      <c r="G16" s="38"/>
      <c r="H16" s="14"/>
      <c r="I16" s="14"/>
      <c r="J16" s="15"/>
      <c r="K16" s="16"/>
      <c r="L16" s="17"/>
    </row>
    <row r="17" spans="1:12" ht="21" x14ac:dyDescent="0.6">
      <c r="A17" s="54"/>
      <c r="B17" s="54"/>
      <c r="C17" s="54"/>
      <c r="D17" s="54"/>
      <c r="E17" s="54"/>
      <c r="F17" s="54"/>
      <c r="G17" s="54"/>
      <c r="H17" s="18"/>
      <c r="I17" s="18"/>
      <c r="J17" s="19">
        <f>SUM(J7:J16)</f>
        <v>0</v>
      </c>
      <c r="K17" s="20" t="e">
        <f>AVERAGE(K7:K16)</f>
        <v>#DIV/0!</v>
      </c>
      <c r="L17" s="21"/>
    </row>
  </sheetData>
  <mergeCells count="16"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  <mergeCell ref="A7:G7"/>
    <mergeCell ref="A1:G1"/>
    <mergeCell ref="B2:G2"/>
    <mergeCell ref="B3:G3"/>
    <mergeCell ref="A5:G5"/>
    <mergeCell ref="A6:L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ใบไม้</vt:lpstr>
      <vt:lpstr>2_SKIB</vt:lpstr>
      <vt:lpstr>5_MKT</vt:lpstr>
      <vt:lpstr>6_MKT</vt:lpstr>
      <vt:lpstr>ปริ้น</vt:lpstr>
      <vt:lpstr>3_DEBT</vt:lpstr>
      <vt:lpstr>4_LEGAL</vt:lpstr>
      <vt:lpstr>9_CS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Pissopa Sittirattanarungsi</dc:creator>
  <cp:lastModifiedBy>Pawarit Thaothong</cp:lastModifiedBy>
  <dcterms:created xsi:type="dcterms:W3CDTF">2025-12-03T09:24:40Z</dcterms:created>
  <dcterms:modified xsi:type="dcterms:W3CDTF">2026-01-06T10:24:55Z</dcterms:modified>
</cp:coreProperties>
</file>