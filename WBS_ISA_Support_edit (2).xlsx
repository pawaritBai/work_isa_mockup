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warit.th\Downloads\"/>
    </mc:Choice>
  </mc:AlternateContent>
  <xr:revisionPtr revIDLastSave="0" documentId="13_ncr:1_{610BECE6-25F2-4D70-A6CC-F0ABB6808F72}" xr6:coauthVersionLast="47" xr6:coauthVersionMax="47" xr10:uidLastSave="{00000000-0000-0000-0000-000000000000}"/>
  <bookViews>
    <workbookView xWindow="-108" yWindow="-108" windowWidth="23256" windowHeight="12456" activeTab="4" xr2:uid="{32C5D2A9-1228-445E-A0B8-CE4FBD5796AA}"/>
  </bookViews>
  <sheets>
    <sheet name="Summary" sheetId="1" r:id="rId1"/>
    <sheet name="ใบไม้" sheetId="3" r:id="rId2"/>
    <sheet name="2_SKIB" sheetId="4" r:id="rId3"/>
    <sheet name="5_MKT" sheetId="5" r:id="rId4"/>
    <sheet name="6_MKT" sheetId="6" r:id="rId5"/>
    <sheet name="ปริ้น" sheetId="2" r:id="rId6"/>
    <sheet name="3_DEBT" sheetId="7" r:id="rId7"/>
    <sheet name="4_LEGAL" sheetId="8" r:id="rId8"/>
    <sheet name="9_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3" l="1"/>
  <c r="F7" i="2"/>
  <c r="J17" i="8"/>
  <c r="K17" i="9"/>
  <c r="J17" i="9"/>
  <c r="K17" i="8"/>
  <c r="K17" i="7"/>
  <c r="J17" i="7"/>
  <c r="K39" i="6"/>
  <c r="J39" i="6"/>
  <c r="K53" i="5"/>
  <c r="J53" i="5"/>
  <c r="K57" i="4"/>
  <c r="J57" i="4"/>
</calcChain>
</file>

<file path=xl/sharedStrings.xml><?xml version="1.0" encoding="utf-8"?>
<sst xmlns="http://schemas.openxmlformats.org/spreadsheetml/2006/main" count="268" uniqueCount="161">
  <si>
    <t>ปริ้น, โอม</t>
  </si>
  <si>
    <t>C/S, Debt. &amp; Legal (ASK &amp; BGPL)</t>
  </si>
  <si>
    <t>แก้ไข Suing &amp; Judgement
          -  วันที่ฟ้อง
          -  เลขคดี
          -  ยอดเงินฟ้อง</t>
  </si>
  <si>
    <t>Legal (ASK &amp; BGPL)</t>
  </si>
  <si>
    <t>Debt. (ASK)</t>
  </si>
  <si>
    <t>ใบไม้, โอม</t>
  </si>
  <si>
    <t>Marketing (ASK &amp; BGPL)</t>
  </si>
  <si>
    <t>Marketing (ASK)</t>
  </si>
  <si>
    <t>SKIB</t>
  </si>
  <si>
    <t>Status</t>
  </si>
  <si>
    <t>Lead</t>
  </si>
  <si>
    <t>Responsibility</t>
  </si>
  <si>
    <t>Description</t>
  </si>
  <si>
    <t>Department</t>
  </si>
  <si>
    <t>No.</t>
  </si>
  <si>
    <t>\\ISA-APP</t>
  </si>
  <si>
    <t>Java</t>
  </si>
  <si>
    <t>Angular 16</t>
  </si>
  <si>
    <t>2. SKIB ประกันภัย</t>
  </si>
  <si>
    <t>Task</t>
  </si>
  <si>
    <t>Manday</t>
  </si>
  <si>
    <t>Start</t>
  </si>
  <si>
    <t>End</t>
  </si>
  <si>
    <t>Remark</t>
  </si>
  <si>
    <t>Get Requirement กับพี่เมย์</t>
  </si>
  <si>
    <t>Confirm Mockup กับพี่เมย์</t>
  </si>
  <si>
    <t>Develop</t>
  </si>
  <si>
    <t>SIT</t>
  </si>
  <si>
    <t>UAT</t>
  </si>
  <si>
    <t>Go-live</t>
  </si>
  <si>
    <t>5. Marketing (ASK)</t>
  </si>
  <si>
    <t>6. Marketing (ASK &amp; BGPL)</t>
  </si>
  <si>
    <t>3. Debt. (ASK)</t>
  </si>
  <si>
    <t>9. C/S, Debt. &amp; Legal (ASK &amp; BGPL)</t>
  </si>
  <si>
    <t>4. Legal (ASK &amp; BGPL)</t>
  </si>
  <si>
    <t>WBS : Work Breakdown Structure</t>
  </si>
  <si>
    <t>Project</t>
  </si>
  <si>
    <t>Version</t>
  </si>
  <si>
    <t>Task Description</t>
  </si>
  <si>
    <t>Start Date</t>
  </si>
  <si>
    <t>End Date</t>
  </si>
  <si>
    <t>Due Day</t>
  </si>
  <si>
    <t>% Task</t>
  </si>
  <si>
    <t>FRONT END</t>
  </si>
  <si>
    <t>SERVICE</t>
  </si>
  <si>
    <t>PACKAGE</t>
  </si>
  <si>
    <t>REPORT</t>
  </si>
  <si>
    <t>Prepare Confing</t>
  </si>
  <si>
    <t>Study</t>
  </si>
  <si>
    <t>Summary Plan : ใบไม้</t>
  </si>
  <si>
    <t>Summary Plan : ปริ้น</t>
  </si>
  <si>
    <t>แก้ไขรายละเอียดการขายรถยึด
          -  ไม่ได้ระบุชื่อ Marketing แนะนำ
          -  เพิ่มรายการเงินดาวน์         
          -  ยกเลิกการขาย</t>
  </si>
  <si>
    <r>
      <t xml:space="preserve">Add &amp; Change Marketing Code &amp; Team 
</t>
    </r>
    <r>
      <rPr>
        <sz val="11"/>
        <color rgb="FFFF0000"/>
        <rFont val="Tahoma"/>
        <family val="2"/>
        <scheme val="minor"/>
      </rPr>
      <t>*มีDelphiอยู่แล้วเอาขึ้น web</t>
    </r>
  </si>
  <si>
    <r>
      <t xml:space="preserve">แก้ไขข้อมูลประกันภัย
          -  ช่องทางการชำระเงิน (Credit Card)
          -  เปลี่ยนผู้ทำประกันชีวิต  (insurance transaction)
          -  ชนิด &amp; ประเภทประกัน
          -  วันที่หมดอายุ , เงินคุ้มครอง  
          -  ตั้ง commission ประกันภัย  
</t>
    </r>
    <r>
      <rPr>
        <sz val="11"/>
        <color rgb="FFFF0000"/>
        <rFont val="Tahoma"/>
        <family val="2"/>
        <scheme val="minor"/>
      </rPr>
      <t xml:space="preserve">             *มีDelphiอยู่แล้วเอาขึ้น web</t>
    </r>
    <r>
      <rPr>
        <sz val="11"/>
        <color theme="1"/>
        <rFont val="Tahoma"/>
        <family val="2"/>
        <charset val="222"/>
        <scheme val="minor"/>
      </rPr>
      <t xml:space="preserve">
          </t>
    </r>
    <r>
      <rPr>
        <sz val="11"/>
        <color rgb="FFFF0000"/>
        <rFont val="Tahoma"/>
        <family val="2"/>
        <scheme val="minor"/>
      </rPr>
      <t>-  ติด Ch5 ค่าประกันคืนลูกค้า (Fixed) ไม่ต้องทำ</t>
    </r>
  </si>
  <si>
    <r>
      <t xml:space="preserve">Cancel RT </t>
    </r>
    <r>
      <rPr>
        <sz val="11"/>
        <color rgb="FFFF0000"/>
        <rFont val="Tahoma"/>
        <family val="2"/>
        <scheme val="minor"/>
      </rPr>
      <t>(ASK ส่วนใหญ่) *มีDelphiอยู่แล้วเอาขึ้น web</t>
    </r>
    <r>
      <rPr>
        <sz val="11"/>
        <color theme="1"/>
        <rFont val="Tahoma"/>
        <family val="2"/>
        <charset val="222"/>
        <scheme val="minor"/>
      </rPr>
      <t xml:space="preserve">
          -  ลูกค้าเปลี่ยนใจ (ปิดสัญญาใหม่ไปใช้สัญญาเก่า)
</t>
    </r>
    <r>
      <rPr>
        <sz val="11"/>
        <color rgb="FFFF0000"/>
        <rFont val="Tahoma"/>
        <family val="2"/>
        <scheme val="minor"/>
      </rPr>
      <t>Edit RT (BGPL เฉพาะ loan) *พี่น้องบอกให้พี่หนุ่ยทำ
          -  แก้เงื่อนไข Start RT 
             (BGPL Start RT ผู้ค้ำมาบ้างไม่มาบ้าง, 
              Gross IRR 2 ตำแหน่ง,
              มีการเข้า Table BG_Drawdown_Receive)</t>
    </r>
    <r>
      <rPr>
        <sz val="11"/>
        <color theme="1"/>
        <rFont val="Tahoma"/>
        <family val="2"/>
        <charset val="222"/>
        <scheme val="minor"/>
      </rPr>
      <t xml:space="preserve">
</t>
    </r>
    <r>
      <rPr>
        <sz val="11"/>
        <color rgb="FFFF0000"/>
        <rFont val="Tahoma"/>
        <family val="2"/>
        <scheme val="minor"/>
      </rPr>
      <t>Edit RD -  ขอพิมพ์สัญญาย้อนหลัง(พี่ป๋องมี) (ASK ส่วนใหญ่)
             *พี่น้องบอกให้พี่ป๋องทำ</t>
    </r>
  </si>
  <si>
    <r>
      <t xml:space="preserve">OA Debt.Code &amp; Legal Code
</t>
    </r>
    <r>
      <rPr>
        <sz val="11"/>
        <color rgb="FFFF0000"/>
        <rFont val="Tahoma"/>
        <family val="2"/>
        <scheme val="minor"/>
      </rPr>
      <t>LG to do.</t>
    </r>
    <r>
      <rPr>
        <sz val="11"/>
        <color theme="1"/>
        <rFont val="Tahoma"/>
        <family val="2"/>
        <charset val="222"/>
        <scheme val="minor"/>
      </rPr>
      <t xml:space="preserve"> </t>
    </r>
    <r>
      <rPr>
        <sz val="11"/>
        <color rgb="FFFF0000"/>
        <rFont val="Tahoma"/>
        <family val="2"/>
        <scheme val="minor"/>
      </rPr>
      <t>*ไม่ต้องทำ</t>
    </r>
  </si>
  <si>
    <t>พี่ปู, พี่หนุ่ย</t>
  </si>
  <si>
    <t>พี่เอม</t>
  </si>
  <si>
    <t>พี่ก๊อต</t>
  </si>
  <si>
    <t>พี่ไกด์</t>
  </si>
  <si>
    <t>มีปัญหาเกี่ยวกับการเขียน html, scss โดยไม่ตรงกับที่ออกแบบ เลยต้องแก้ไข้ให้ใกล้เคียงที่สุด</t>
  </si>
  <si>
    <t>มีปัญหาเกี่ยวกับการเขียน package, service ต้องทำความเข้าใจระบบในการ query</t>
  </si>
  <si>
    <t>เนื่องจากอยู่ในการทำ module แรกเลยยังไม่ได้เริ่มทำ</t>
  </si>
  <si>
    <t>ออกแบบหน้า หน้าแสดง list รายการประกัน</t>
  </si>
  <si>
    <t>นำเสนอหน้า mockup ให้กับ user, พี่เลี้ยง และ ที่ปรึกษาโปรเจค</t>
  </si>
  <si>
    <t xml:space="preserve">นำเสนอหน้า mockup ให้กับ user, พี่เลี้ยง และ ที่ปรึกษาโปรเจค </t>
  </si>
  <si>
    <t>เพิ่มการแสดงหน้าแสดงข้อมูลที่ขาดในส่วนของรถยนต์</t>
  </si>
  <si>
    <t>เริ่มการเขียน code ฝั่งหน้าบ้าน เพิ่มหน้าหน้าแสดงรายการประกัน</t>
  </si>
  <si>
    <t>เพิ่ม filter, การค้นหา</t>
  </si>
  <si>
    <t>GetListInsurance</t>
  </si>
  <si>
    <t>GetListMasterGet</t>
  </si>
  <si>
    <t xml:space="preserve">เขียน dropdown seller code, paymenthod, kindOfIns, typeOfIns ให้สามาถใช้ service ได้ </t>
  </si>
  <si>
    <t>เพิ่มหน้า form maintain data ให้สามารถแสดงข้อมูลตาม key ที่ส่งไปได้</t>
  </si>
  <si>
    <t>GetInsuranceCoverageByKey</t>
  </si>
  <si>
    <t xml:space="preserve">เพิ่มหน้า form ความคุมครอง / สถานะ </t>
  </si>
  <si>
    <t xml:space="preserve">เพิ่มหน้า ดูรายละเอียด dialog compulsory </t>
  </si>
  <si>
    <t>แก้ไขหน้าแสดง list รายการประกัน, และ filter, การค้นหา ให้มันตรงกับ service</t>
  </si>
  <si>
    <t>แก้ไข List แสดงรายการ, filter ให้เป็น input ที่ให้กรอกในแต่ละ column, การค้นหา, form ให้สวยขึ้น</t>
  </si>
  <si>
    <t>แก้ไข หน้าให้มีข้อมูลตรงกับในฐานข้อมูล</t>
  </si>
  <si>
    <t>แก้ไขหน้า ดูรายละเอียด dialog compulsory ให้สามารถใช้ service ได้</t>
  </si>
  <si>
    <t>GetCompulsoryByKey</t>
  </si>
  <si>
    <t>GetGuarantorByKey</t>
  </si>
  <si>
    <t>แก้ไขหน้า form maintain data ที่ dropdown ผู้ค้ำประกันให้สามารถเรียกใช้ service ได้</t>
  </si>
  <si>
    <t xml:space="preserve">ออกแบบหน้า หน้าแสดง list </t>
  </si>
  <si>
    <t>แก้ไขตารางให้ถูก format ในแต่ละ column</t>
  </si>
  <si>
    <t>เพิ่ม filter, การค้นหา, form การแสดงข้อมูลรายละเอียด และ ปุ่ม cancel</t>
  </si>
  <si>
    <t>แก้ไข form การแสดงข้อมูลให้ถูก format ในแต่ละ input ที่แสดง</t>
  </si>
  <si>
    <t>เพิ่ม filter, การค้นหา, form การแก้ไข group marketing และ ปุ่ม บันทึกการแก้ไข, เพิ่ม และ ยกเลิก</t>
  </si>
  <si>
    <t>เพิ่ม filter, การค้นหา, form การแก้ไข ประกัน, ปุมยืนยันการแก้ไข และ ปุ่มยกเลิก</t>
  </si>
  <si>
    <t>GetCancelByKey</t>
  </si>
  <si>
    <t>แก้ไขหน้าแสดงรายการ โครงสร้างสัญญาใหม่ ให้สามารถเรียกใช้ service ได้</t>
  </si>
  <si>
    <t>GetCancelDetail</t>
  </si>
  <si>
    <t>แก้ไขหน้าแสดงรายละเอียดของ โครงสร้างสัญญาใหม่ ให้สามารถเรียกใช้ service ได้</t>
  </si>
  <si>
    <t>เริ่มการเขียน code ฝั่งหน้าบ้าน เพิ่ม module และ เพิ่มหน้าแสดงรายการ และปุ่มยกเลิก ของโครงสร้างสัญญาใหม่</t>
  </si>
  <si>
    <t>เพิ่ม function การ check status ปุ่มไหนที่กดได้</t>
  </si>
  <si>
    <t>GetCheckReceiveForCancelRT</t>
  </si>
  <si>
    <t>การเช็คปุมจะเป็นการวน loop เรียก api ในแต่ละตัว</t>
  </si>
  <si>
    <t>เพิ่ม alert ยืนยันการแก้ไข</t>
  </si>
  <si>
    <t>ปัญหาแสดงหน้า alert อยู่ใน component ลูก</t>
  </si>
  <si>
    <t>GetMarketing</t>
  </si>
  <si>
    <t>เพิ่ม module และ เพิ่มหน้า select search, fiter ,การค้นหา</t>
  </si>
  <si>
    <t>แก้ไขหน้า select search, fiter ,การค้นหา ให้สามารเรียก service ได้ และ เขียน function การค้นหา</t>
  </si>
  <si>
    <t>แก้ไข้ หน้าแสดงรายการประกันตอนกด dbclick ให้ปิด component แล้วไปเรียก component ลูก</t>
  </si>
  <si>
    <t>เนื่องจากปัญการแสดงของ alert ที่อยู่ใน component เดียว ทำให้เมื่อมีเกิน 1 มันจะไม่มี backdrop ปิดอีก component ที่ไม่ได้เรียกใช้</t>
  </si>
  <si>
    <t xml:space="preserve">เพิ่มหน้า form credit card </t>
  </si>
  <si>
    <t>GetBBL</t>
  </si>
  <si>
    <t>แก้ไขในหน้า maintain data ให้มีเงื่อนไขและส่งค่าไปให้ หน้า credit card check และเรียกใช้ service</t>
  </si>
  <si>
    <t>getListInsurance</t>
  </si>
  <si>
    <t>getInsuranceByKey</t>
  </si>
  <si>
    <t>getInsuranceCoverageByKey</t>
  </si>
  <si>
    <t>getCompulsoryByKey</t>
  </si>
  <si>
    <t>procedure getGuarantorByKey</t>
  </si>
  <si>
    <t>getBBL</t>
  </si>
  <si>
    <t>getRdRtTransByKey</t>
  </si>
  <si>
    <t>getRdRtTransDetail</t>
  </si>
  <si>
    <t>updateInsuranceTransaction</t>
  </si>
  <si>
    <t>updateInsurance</t>
  </si>
  <si>
    <t>เพิ่มหน้า member in group และ เพิ่ม action dbclick รายการที่หน้า select search มายังหน้า member in group</t>
  </si>
  <si>
    <t>getMarketingGroupData</t>
  </si>
  <si>
    <t>GetMarketingList</t>
  </si>
  <si>
    <t>GetMarketingGroup</t>
  </si>
  <si>
    <t xml:space="preserve">เพิ่มหน้า member of group </t>
  </si>
  <si>
    <t>getMemberOfGroup</t>
  </si>
  <si>
    <t>GetMemberOfGroup</t>
  </si>
  <si>
    <t>เพิ่มหน้า person in group</t>
  </si>
  <si>
    <t>getPersonIngroup</t>
  </si>
  <si>
    <t>GetPersonInGroup</t>
  </si>
  <si>
    <t>แก้ไข หน้าแสดงรายการประกันตอนกด dbclick ให้ปิด component แล้วไปเรียก component ลูก</t>
  </si>
  <si>
    <t>แก้ไขหน้า form ความคุมครอง / สถานะ ให้สามารถแสดงข้อมูลตาม key ที่ส่งไปได้</t>
  </si>
  <si>
    <t>แก้ไขหน้า maintain data ให้สามารถเรียกใช้ service updateInsurance ได้</t>
  </si>
  <si>
    <t>updateInsuranceCoverage</t>
  </si>
  <si>
    <t>updateCoverage</t>
  </si>
  <si>
    <t>แก้ไขหน้า คุ้มครองและสถานะ ให้สามารถเรียกใช้ service updateCoverage ได้</t>
  </si>
  <si>
    <t>InsertCreditCard</t>
  </si>
  <si>
    <t>เพิ่ม action ให้ปุ่มบันทึกโดยเรียกใช้ service InsertCreditCard และ validateforn</t>
  </si>
  <si>
    <t>เพิ่มหน้ารายละเอียดของรายการสัญญาที่เลือก และเพิ่มปุ่มยกเลิก rt</t>
  </si>
  <si>
    <t>CheckReceiveForCancelRT แก้ไขให้สามารถส่ง msg ที่ติดเงื่อนไขอะไร</t>
  </si>
  <si>
    <t>updateCancelRtStatus</t>
  </si>
  <si>
    <t>ปัญหา action เดิมถูกวนลูปเรียก service ทำให้เสียเวลา</t>
  </si>
  <si>
    <t>แก้ไข action ปุ่มcancel ในรายการ rt ให้ไปเรียก service CheckReceiveForCancelRT เมื่อกด</t>
  </si>
  <si>
    <t>แก้ไข action ปุ่มcancel ในหน้าแสดงรายละเอียดให้ไปเรียกใช้ service updateCancelRtStatus</t>
  </si>
  <si>
    <t>แก้ไข alert dialog ให้ใช้ของที่มีอยู่ และเรียกใช้ header ที่มีอยู่</t>
  </si>
  <si>
    <t>test ระบบ และแก้ไข form ที่ input ประเภทประกันผิด</t>
  </si>
  <si>
    <t>เพราะว่าไปใส่ชื่อ input ที่เหมือนกับ อีกตัวนึง</t>
  </si>
  <si>
    <t>test ระบบ</t>
  </si>
  <si>
    <t>เพิ่มหน้า person of group</t>
  </si>
  <si>
    <t>getPersonOfGroup</t>
  </si>
  <si>
    <t>GetPersonOfGroup</t>
  </si>
  <si>
    <t>พูดคุยกับ user แล้วแก้ไข tab บันทึกข้อมูล และ label แสดงรหัส รถยนต์</t>
  </si>
  <si>
    <t>พูดคุยกับ user และแก้ไข package updateCancelRtStatus</t>
  </si>
  <si>
    <t>ให้เพิ่ม field ที่ถูก update เพิ่ม</t>
  </si>
  <si>
    <t xml:space="preserve">เพิ่มหน้า incentive </t>
  </si>
  <si>
    <t>getIncentive</t>
  </si>
  <si>
    <t>GetIncentive</t>
  </si>
  <si>
    <t>เพิ่มปุ่ม Add member ที่หน้า member in group แล้ว เพิ่ม component group-margeting-manage และเพิ่ม action ให้เปิด component</t>
  </si>
  <si>
    <t>เพิ่ม form ที่ component group-marketing-manage</t>
  </si>
  <si>
    <t>เขียนคู่มือการใช้งาน และ test ระบบรวมที่ Merg ใน master</t>
  </si>
  <si>
    <t xml:space="preserve">เพิ่ม disable ใน form เงื่อนไขที่เป็น add </t>
  </si>
  <si>
    <t>เพิ่ม disable ใน form เงื่อนไขที่เป็น edit</t>
  </si>
  <si>
    <t xml:space="preserve">เพิ่ม disable ที่เป็น checkbox incentive </t>
  </si>
  <si>
    <t>เพิ่มการส่งตัวแปล list เข้ามาจาก member in group ใน service ที่เรียก form เพื่อดึงข้อมูลมาแสดง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</si>
</sst>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F800]dddd\,\ mmmm\ dd\,\ yyyy"/>
    <numFmt numFmtId="188" formatCode="0.0"/>
  </numFmts>
  <fonts count="10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6"/>
      <color theme="0"/>
      <name val="Cordia New"/>
      <family val="2"/>
      <charset val="222"/>
    </font>
    <font>
      <sz val="11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sz val="14"/>
      <color theme="1"/>
      <name val="Cordia New"/>
      <family val="2"/>
      <charset val="222"/>
    </font>
    <font>
      <sz val="11"/>
      <color rgb="FFFF0000"/>
      <name val="Tahoma"/>
      <family val="2"/>
      <scheme val="minor"/>
    </font>
    <font>
      <sz val="14"/>
      <color theme="1"/>
      <name val="Cordia New"/>
      <family val="2"/>
    </font>
    <font>
      <sz val="14"/>
      <color rgb="FFFF0000"/>
      <name val="Cord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8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18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/>
    <xf numFmtId="0" fontId="6" fillId="0" borderId="1" xfId="0" applyFont="1" applyBorder="1"/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9" fontId="5" fillId="3" borderId="1" xfId="0" applyNumberFormat="1" applyFont="1" applyFill="1" applyBorder="1"/>
    <xf numFmtId="0" fontId="5" fillId="3" borderId="1" xfId="0" applyFont="1" applyFill="1" applyBorder="1"/>
    <xf numFmtId="14" fontId="4" fillId="0" borderId="0" xfId="0" applyNumberFormat="1" applyFont="1" applyAlignment="1">
      <alignment horizontal="center" vertical="center"/>
    </xf>
    <xf numFmtId="9" fontId="4" fillId="0" borderId="0" xfId="0" applyNumberFormat="1" applyFont="1"/>
    <xf numFmtId="0" fontId="0" fillId="0" borderId="1" xfId="0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88" fontId="5" fillId="0" borderId="2" xfId="0" applyNumberFormat="1" applyFont="1" applyBorder="1" applyAlignment="1">
      <alignment horizontal="left"/>
    </xf>
    <xf numFmtId="188" fontId="5" fillId="0" borderId="3" xfId="0" applyNumberFormat="1" applyFont="1" applyBorder="1" applyAlignment="1">
      <alignment horizontal="left"/>
    </xf>
    <xf numFmtId="188" fontId="5" fillId="0" borderId="4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left"/>
    </xf>
    <xf numFmtId="9" fontId="5" fillId="3" borderId="3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ISA-AP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AB07-C219-4A1A-A00C-860F00461FF1}">
  <sheetPr>
    <tabColor rgb="FFFF0000"/>
  </sheetPr>
  <dimension ref="A1:F11"/>
  <sheetViews>
    <sheetView workbookViewId="0">
      <selection activeCell="H8" sqref="H8"/>
    </sheetView>
  </sheetViews>
  <sheetFormatPr defaultColWidth="8.69921875" defaultRowHeight="13.8" x14ac:dyDescent="0.25"/>
  <cols>
    <col min="1" max="1" width="8.69921875" style="1"/>
    <col min="2" max="2" width="27.69921875" style="1" bestFit="1" customWidth="1"/>
    <col min="3" max="3" width="47.69921875" style="1" customWidth="1"/>
    <col min="4" max="4" width="14.59765625" style="1" customWidth="1"/>
    <col min="5" max="5" width="12.69921875" style="1" customWidth="1"/>
    <col min="6" max="6" width="14.69921875" style="1" bestFit="1" customWidth="1"/>
    <col min="7" max="16384" width="8.69921875" style="1"/>
  </cols>
  <sheetData>
    <row r="1" spans="1:6" x14ac:dyDescent="0.25">
      <c r="B1" s="1" t="s">
        <v>17</v>
      </c>
    </row>
    <row r="2" spans="1:6" x14ac:dyDescent="0.25">
      <c r="B2" s="1" t="s">
        <v>16</v>
      </c>
    </row>
    <row r="3" spans="1:6" x14ac:dyDescent="0.25">
      <c r="B3" s="4" t="s">
        <v>15</v>
      </c>
    </row>
    <row r="4" spans="1:6" x14ac:dyDescent="0.25">
      <c r="C4" s="4"/>
    </row>
    <row r="5" spans="1:6" x14ac:dyDescent="0.25">
      <c r="A5" s="24" t="s">
        <v>14</v>
      </c>
      <c r="B5" s="24" t="s">
        <v>13</v>
      </c>
      <c r="C5" s="25" t="s">
        <v>12</v>
      </c>
      <c r="D5" s="24" t="s">
        <v>11</v>
      </c>
      <c r="E5" s="24" t="s">
        <v>10</v>
      </c>
      <c r="F5" s="24" t="s">
        <v>9</v>
      </c>
    </row>
    <row r="6" spans="1:6" ht="110.4" x14ac:dyDescent="0.25">
      <c r="A6" s="2">
        <v>2</v>
      </c>
      <c r="B6" s="2" t="s">
        <v>8</v>
      </c>
      <c r="C6" s="3" t="s">
        <v>53</v>
      </c>
      <c r="D6" s="2" t="s">
        <v>5</v>
      </c>
      <c r="E6" s="2" t="s">
        <v>57</v>
      </c>
      <c r="F6" s="2"/>
    </row>
    <row r="7" spans="1:6" ht="35.4" customHeight="1" x14ac:dyDescent="0.25">
      <c r="A7" s="2">
        <v>5</v>
      </c>
      <c r="B7" s="2" t="s">
        <v>7</v>
      </c>
      <c r="C7" s="3" t="s">
        <v>52</v>
      </c>
      <c r="D7" s="2" t="s">
        <v>5</v>
      </c>
      <c r="E7" s="2" t="s">
        <v>56</v>
      </c>
      <c r="F7" s="2"/>
    </row>
    <row r="8" spans="1:6" ht="124.2" x14ac:dyDescent="0.25">
      <c r="A8" s="2">
        <v>6</v>
      </c>
      <c r="B8" s="2" t="s">
        <v>6</v>
      </c>
      <c r="C8" s="3" t="s">
        <v>54</v>
      </c>
      <c r="D8" s="2" t="s">
        <v>5</v>
      </c>
      <c r="E8" s="2" t="s">
        <v>58</v>
      </c>
      <c r="F8" s="2"/>
    </row>
    <row r="9" spans="1:6" ht="55.2" x14ac:dyDescent="0.25">
      <c r="A9" s="2">
        <v>3</v>
      </c>
      <c r="B9" s="2" t="s">
        <v>4</v>
      </c>
      <c r="C9" s="3" t="s">
        <v>51</v>
      </c>
      <c r="D9" s="2" t="s">
        <v>0</v>
      </c>
      <c r="E9" s="2" t="s">
        <v>59</v>
      </c>
      <c r="F9" s="2"/>
    </row>
    <row r="10" spans="1:6" ht="55.2" x14ac:dyDescent="0.25">
      <c r="A10" s="2">
        <v>4</v>
      </c>
      <c r="B10" s="2" t="s">
        <v>3</v>
      </c>
      <c r="C10" s="3" t="s">
        <v>2</v>
      </c>
      <c r="D10" s="2" t="s">
        <v>0</v>
      </c>
      <c r="E10" s="2" t="s">
        <v>59</v>
      </c>
      <c r="F10" s="2"/>
    </row>
    <row r="11" spans="1:6" ht="38.4" customHeight="1" x14ac:dyDescent="0.25">
      <c r="A11" s="2">
        <v>9</v>
      </c>
      <c r="B11" s="2" t="s">
        <v>1</v>
      </c>
      <c r="C11" s="3" t="s">
        <v>55</v>
      </c>
      <c r="D11" s="2" t="s">
        <v>0</v>
      </c>
      <c r="E11" s="2" t="s">
        <v>59</v>
      </c>
      <c r="F11" s="2"/>
    </row>
  </sheetData>
  <hyperlinks>
    <hyperlink ref="B3" r:id="rId1" xr:uid="{B7DDE90D-02CF-440D-968A-46D4A5D3889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BCC4-2B83-45F6-85B9-DFB77F7A2CAA}">
  <sheetPr>
    <tabColor theme="9" tint="0.59999389629810485"/>
  </sheetPr>
  <dimension ref="A2:G34"/>
  <sheetViews>
    <sheetView zoomScale="115" zoomScaleNormal="115" workbookViewId="0">
      <selection activeCell="B25" sqref="B25"/>
    </sheetView>
  </sheetViews>
  <sheetFormatPr defaultRowHeight="13.8" x14ac:dyDescent="0.25"/>
  <cols>
    <col min="2" max="2" width="29.69921875" customWidth="1"/>
    <col min="4" max="4" width="11.69921875" customWidth="1"/>
    <col min="5" max="5" width="11.59765625" customWidth="1"/>
    <col min="6" max="6" width="8.796875" style="28"/>
    <col min="7" max="7" width="28.796875" customWidth="1"/>
  </cols>
  <sheetData>
    <row r="2" spans="1:7" x14ac:dyDescent="0.25">
      <c r="A2" t="s">
        <v>49</v>
      </c>
    </row>
    <row r="3" spans="1:7" x14ac:dyDescent="0.25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7" x14ac:dyDescent="0.25">
      <c r="A4" s="24">
        <v>1</v>
      </c>
      <c r="B4" s="29" t="s">
        <v>48</v>
      </c>
      <c r="C4" s="6">
        <v>8</v>
      </c>
      <c r="D4" s="26">
        <v>45985</v>
      </c>
      <c r="E4" s="26">
        <v>45964</v>
      </c>
      <c r="F4" s="35">
        <v>1</v>
      </c>
      <c r="G4" s="5"/>
    </row>
    <row r="5" spans="1:7" x14ac:dyDescent="0.25">
      <c r="A5" s="6">
        <v>2</v>
      </c>
      <c r="B5" s="5" t="s">
        <v>24</v>
      </c>
      <c r="C5" s="6">
        <v>10</v>
      </c>
      <c r="D5" s="26">
        <v>45995</v>
      </c>
      <c r="E5" s="26">
        <v>46010</v>
      </c>
      <c r="F5" s="35">
        <v>1</v>
      </c>
      <c r="G5" s="5"/>
    </row>
    <row r="6" spans="1:7" x14ac:dyDescent="0.25">
      <c r="A6" s="6">
        <v>3</v>
      </c>
      <c r="B6" s="5" t="s">
        <v>25</v>
      </c>
      <c r="C6" s="6">
        <v>1</v>
      </c>
      <c r="D6" s="26">
        <v>46010</v>
      </c>
      <c r="E6" s="26">
        <v>46010</v>
      </c>
      <c r="F6" s="35">
        <v>1</v>
      </c>
      <c r="G6" s="5"/>
    </row>
    <row r="7" spans="1:7" x14ac:dyDescent="0.25">
      <c r="A7" s="6">
        <v>4</v>
      </c>
      <c r="B7" s="5" t="s">
        <v>26</v>
      </c>
      <c r="C7" s="6">
        <v>36</v>
      </c>
      <c r="D7" s="26">
        <v>46013</v>
      </c>
      <c r="E7" s="26">
        <v>46066</v>
      </c>
      <c r="F7" s="35">
        <f>AVERAGE(F8:F10)</f>
        <v>0.35333333333333333</v>
      </c>
      <c r="G7" s="5"/>
    </row>
    <row r="8" spans="1:7" x14ac:dyDescent="0.25">
      <c r="A8" s="6"/>
      <c r="B8" s="30" t="s">
        <v>18</v>
      </c>
      <c r="C8" s="6"/>
      <c r="D8" s="26"/>
      <c r="E8" s="26"/>
      <c r="F8" s="35">
        <v>0.66</v>
      </c>
      <c r="G8" s="5"/>
    </row>
    <row r="9" spans="1:7" x14ac:dyDescent="0.25">
      <c r="A9" s="6"/>
      <c r="B9" s="30" t="s">
        <v>30</v>
      </c>
      <c r="C9" s="6"/>
      <c r="D9" s="26"/>
      <c r="E9" s="26"/>
      <c r="F9" s="35">
        <v>0.2</v>
      </c>
      <c r="G9" s="5"/>
    </row>
    <row r="10" spans="1:7" x14ac:dyDescent="0.25">
      <c r="A10" s="6"/>
      <c r="B10" s="30" t="s">
        <v>31</v>
      </c>
      <c r="C10" s="6"/>
      <c r="D10" s="26"/>
      <c r="E10" s="26"/>
      <c r="F10" s="35">
        <v>0.2</v>
      </c>
      <c r="G10" s="5"/>
    </row>
    <row r="11" spans="1:7" x14ac:dyDescent="0.25">
      <c r="A11" s="6">
        <v>5</v>
      </c>
      <c r="B11" s="5" t="s">
        <v>27</v>
      </c>
      <c r="C11" s="6">
        <v>5</v>
      </c>
      <c r="D11" s="26">
        <v>46069</v>
      </c>
      <c r="E11" s="26">
        <v>46073</v>
      </c>
      <c r="F11" s="35">
        <v>0</v>
      </c>
      <c r="G11" s="5"/>
    </row>
    <row r="12" spans="1:7" x14ac:dyDescent="0.25">
      <c r="A12" s="6">
        <v>6</v>
      </c>
      <c r="B12" s="5" t="s">
        <v>28</v>
      </c>
      <c r="C12" s="6">
        <v>5</v>
      </c>
      <c r="D12" s="26">
        <v>46076</v>
      </c>
      <c r="E12" s="26">
        <v>46080</v>
      </c>
      <c r="F12" s="35">
        <v>0</v>
      </c>
      <c r="G12" s="5"/>
    </row>
    <row r="13" spans="1:7" x14ac:dyDescent="0.25">
      <c r="A13" s="6">
        <v>7</v>
      </c>
      <c r="B13" s="5" t="s">
        <v>47</v>
      </c>
      <c r="C13" s="6">
        <v>2</v>
      </c>
      <c r="D13" s="26">
        <v>46083</v>
      </c>
      <c r="E13" s="26">
        <v>46084</v>
      </c>
      <c r="F13" s="35">
        <v>0</v>
      </c>
      <c r="G13" s="5"/>
    </row>
    <row r="14" spans="1:7" x14ac:dyDescent="0.25">
      <c r="A14" s="6">
        <v>8</v>
      </c>
      <c r="B14" s="5" t="s">
        <v>29</v>
      </c>
      <c r="C14" s="6"/>
      <c r="D14" s="26">
        <v>46086</v>
      </c>
      <c r="E14" s="26">
        <v>46086</v>
      </c>
      <c r="F14" s="35">
        <v>0</v>
      </c>
      <c r="G14" s="5"/>
    </row>
    <row r="19" spans="1:5" x14ac:dyDescent="0.25">
      <c r="A19" s="28"/>
      <c r="D19" s="27"/>
      <c r="E19" s="27"/>
    </row>
    <row r="20" spans="1:5" x14ac:dyDescent="0.25">
      <c r="A20" s="28"/>
      <c r="D20" s="27"/>
      <c r="E20" s="27"/>
    </row>
    <row r="21" spans="1:5" x14ac:dyDescent="0.25">
      <c r="A21" s="28"/>
      <c r="D21" s="27"/>
      <c r="E21" s="27"/>
    </row>
    <row r="22" spans="1:5" x14ac:dyDescent="0.25">
      <c r="A22" s="28"/>
    </row>
    <row r="23" spans="1:5" x14ac:dyDescent="0.25">
      <c r="A23" s="28"/>
    </row>
    <row r="24" spans="1:5" x14ac:dyDescent="0.25">
      <c r="A24" s="28"/>
    </row>
    <row r="29" spans="1:5" x14ac:dyDescent="0.25">
      <c r="A29" s="28"/>
      <c r="D29" s="27"/>
      <c r="E29" s="27"/>
    </row>
    <row r="30" spans="1:5" x14ac:dyDescent="0.25">
      <c r="A30" s="28"/>
      <c r="D30" s="27"/>
      <c r="E30" s="27"/>
    </row>
    <row r="31" spans="1:5" x14ac:dyDescent="0.25">
      <c r="A31" s="28"/>
    </row>
    <row r="32" spans="1:5" x14ac:dyDescent="0.25">
      <c r="A32" s="28"/>
    </row>
    <row r="33" spans="1:1" x14ac:dyDescent="0.25">
      <c r="A33" s="28"/>
    </row>
    <row r="34" spans="1:1" x14ac:dyDescent="0.25">
      <c r="A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4CB8-4E9E-4BF9-8822-A24B0F931FB3}">
  <sheetPr>
    <tabColor theme="9" tint="0.59999389629810485"/>
  </sheetPr>
  <dimension ref="A1:L57"/>
  <sheetViews>
    <sheetView topLeftCell="A46" zoomScaleNormal="100" workbookViewId="0">
      <selection activeCell="H59" sqref="H59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18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54" t="s">
        <v>38</v>
      </c>
      <c r="B5" s="55"/>
      <c r="C5" s="55"/>
      <c r="D5" s="55"/>
      <c r="E5" s="55"/>
      <c r="F5" s="55"/>
      <c r="G5" s="56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42" t="s">
        <v>63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0.3</v>
      </c>
      <c r="K7" s="16">
        <v>1</v>
      </c>
      <c r="L7" s="17"/>
    </row>
    <row r="8" spans="1:12" ht="21" x14ac:dyDescent="0.6">
      <c r="A8" s="42" t="s">
        <v>88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0.3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0.5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0.5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0.3</v>
      </c>
      <c r="K12" s="16">
        <v>1</v>
      </c>
      <c r="L12" s="17"/>
    </row>
    <row r="13" spans="1:12" ht="21" x14ac:dyDescent="0.6">
      <c r="A13" s="42" t="s">
        <v>66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67</v>
      </c>
      <c r="B14" s="43"/>
      <c r="C14" s="43"/>
      <c r="D14" s="43"/>
      <c r="E14" s="43"/>
      <c r="F14" s="43"/>
      <c r="G14" s="44"/>
      <c r="H14" s="37">
        <v>46013</v>
      </c>
      <c r="I14" s="37">
        <v>46013</v>
      </c>
      <c r="J14" s="15">
        <v>0.7</v>
      </c>
      <c r="K14" s="16">
        <v>1</v>
      </c>
      <c r="L14" s="17"/>
    </row>
    <row r="15" spans="1:12" ht="21" x14ac:dyDescent="0.6">
      <c r="A15" s="42" t="s">
        <v>68</v>
      </c>
      <c r="B15" s="43"/>
      <c r="C15" s="43"/>
      <c r="D15" s="43"/>
      <c r="E15" s="43"/>
      <c r="F15" s="43"/>
      <c r="G15" s="44"/>
      <c r="H15" s="37">
        <v>46014</v>
      </c>
      <c r="I15" s="37">
        <v>46014</v>
      </c>
      <c r="J15" s="15">
        <v>1</v>
      </c>
      <c r="K15" s="16">
        <v>1</v>
      </c>
      <c r="L15" s="17"/>
    </row>
    <row r="16" spans="1:12" ht="21" x14ac:dyDescent="0.6">
      <c r="A16" s="42" t="s">
        <v>76</v>
      </c>
      <c r="B16" s="43"/>
      <c r="C16" s="43"/>
      <c r="D16" s="43"/>
      <c r="E16" s="43"/>
      <c r="F16" s="43"/>
      <c r="G16" s="44"/>
      <c r="H16" s="37">
        <v>46016</v>
      </c>
      <c r="I16" s="37">
        <v>46016</v>
      </c>
      <c r="J16" s="15">
        <v>0.5</v>
      </c>
      <c r="K16" s="16">
        <v>1</v>
      </c>
      <c r="L16" s="17"/>
    </row>
    <row r="17" spans="1:12" ht="21" x14ac:dyDescent="0.6">
      <c r="A17" s="42" t="s">
        <v>72</v>
      </c>
      <c r="B17" s="43"/>
      <c r="C17" s="43"/>
      <c r="D17" s="43"/>
      <c r="E17" s="43"/>
      <c r="F17" s="43"/>
      <c r="G17" s="44"/>
      <c r="H17" s="37">
        <v>46017</v>
      </c>
      <c r="I17" s="37">
        <v>46017</v>
      </c>
      <c r="J17" s="15">
        <v>1</v>
      </c>
      <c r="K17" s="16">
        <v>1</v>
      </c>
      <c r="L17" s="17"/>
    </row>
    <row r="18" spans="1:12" ht="21" x14ac:dyDescent="0.6">
      <c r="A18" s="42" t="s">
        <v>71</v>
      </c>
      <c r="B18" s="43"/>
      <c r="C18" s="43"/>
      <c r="D18" s="43"/>
      <c r="E18" s="43"/>
      <c r="F18" s="43"/>
      <c r="G18" s="44"/>
      <c r="H18" s="37">
        <v>46020</v>
      </c>
      <c r="I18" s="37">
        <v>46020</v>
      </c>
      <c r="J18" s="15">
        <v>1</v>
      </c>
      <c r="K18" s="16">
        <v>1</v>
      </c>
      <c r="L18" s="17"/>
    </row>
    <row r="19" spans="1:12" ht="21" x14ac:dyDescent="0.6">
      <c r="A19" s="42" t="s">
        <v>74</v>
      </c>
      <c r="B19" s="43"/>
      <c r="C19" s="43"/>
      <c r="D19" s="43"/>
      <c r="E19" s="43"/>
      <c r="F19" s="43"/>
      <c r="G19" s="44"/>
      <c r="H19" s="37">
        <v>46021</v>
      </c>
      <c r="I19" s="37">
        <v>46021</v>
      </c>
      <c r="J19" s="15">
        <v>0.5</v>
      </c>
      <c r="K19" s="16">
        <v>1</v>
      </c>
      <c r="L19" s="17"/>
    </row>
    <row r="20" spans="1:12" ht="21" x14ac:dyDescent="0.6">
      <c r="A20" s="42" t="s">
        <v>128</v>
      </c>
      <c r="B20" s="43"/>
      <c r="C20" s="43"/>
      <c r="D20" s="43"/>
      <c r="E20" s="43"/>
      <c r="F20" s="43"/>
      <c r="G20" s="44"/>
      <c r="H20" s="37">
        <v>46021</v>
      </c>
      <c r="I20" s="37">
        <v>46021</v>
      </c>
      <c r="J20" s="15">
        <v>0.2</v>
      </c>
      <c r="K20" s="16">
        <v>1</v>
      </c>
      <c r="L20" s="17"/>
    </row>
    <row r="21" spans="1:12" ht="21" x14ac:dyDescent="0.6">
      <c r="A21" s="42" t="s">
        <v>75</v>
      </c>
      <c r="B21" s="43"/>
      <c r="C21" s="43"/>
      <c r="D21" s="43"/>
      <c r="E21" s="43"/>
      <c r="F21" s="43"/>
      <c r="G21" s="44"/>
      <c r="H21" s="37">
        <v>46027</v>
      </c>
      <c r="I21" s="37">
        <v>46027</v>
      </c>
      <c r="J21" s="15">
        <v>0.5</v>
      </c>
      <c r="K21" s="16">
        <v>1</v>
      </c>
      <c r="L21" s="17"/>
    </row>
    <row r="22" spans="1:12" ht="21" x14ac:dyDescent="0.6">
      <c r="A22" s="42" t="s">
        <v>79</v>
      </c>
      <c r="B22" s="43"/>
      <c r="C22" s="43"/>
      <c r="D22" s="43"/>
      <c r="E22" s="43"/>
      <c r="F22" s="43"/>
      <c r="G22" s="44"/>
      <c r="H22" s="37">
        <v>46027</v>
      </c>
      <c r="I22" s="37">
        <v>46027</v>
      </c>
      <c r="J22" s="15">
        <v>0.1</v>
      </c>
      <c r="K22" s="16">
        <v>1</v>
      </c>
      <c r="L22" s="17"/>
    </row>
    <row r="23" spans="1:12" ht="21" x14ac:dyDescent="0.6">
      <c r="A23" s="42" t="s">
        <v>82</v>
      </c>
      <c r="B23" s="43"/>
      <c r="C23" s="43"/>
      <c r="D23" s="43"/>
      <c r="E23" s="43"/>
      <c r="F23" s="43"/>
      <c r="G23" s="44"/>
      <c r="H23" s="37">
        <v>46027</v>
      </c>
      <c r="I23" s="37">
        <v>46027</v>
      </c>
      <c r="J23" s="15">
        <v>0.1</v>
      </c>
      <c r="K23" s="16">
        <v>1</v>
      </c>
      <c r="L23" s="17"/>
    </row>
    <row r="24" spans="1:12" ht="21" x14ac:dyDescent="0.6">
      <c r="A24" s="42" t="s">
        <v>127</v>
      </c>
      <c r="B24" s="43"/>
      <c r="C24" s="43"/>
      <c r="D24" s="43"/>
      <c r="E24" s="43"/>
      <c r="F24" s="43"/>
      <c r="G24" s="44"/>
      <c r="H24" s="37">
        <v>46030</v>
      </c>
      <c r="I24" s="37">
        <v>46030</v>
      </c>
      <c r="J24" s="15">
        <v>0.2</v>
      </c>
      <c r="K24" s="16">
        <v>1</v>
      </c>
      <c r="L24" s="17" t="s">
        <v>103</v>
      </c>
    </row>
    <row r="25" spans="1:12" ht="21" x14ac:dyDescent="0.6">
      <c r="A25" s="42" t="s">
        <v>104</v>
      </c>
      <c r="B25" s="43"/>
      <c r="C25" s="43"/>
      <c r="D25" s="43"/>
      <c r="E25" s="43"/>
      <c r="F25" s="43"/>
      <c r="G25" s="44"/>
      <c r="H25" s="37">
        <v>46030</v>
      </c>
      <c r="I25" s="37">
        <v>46030</v>
      </c>
      <c r="J25" s="15">
        <v>0.2</v>
      </c>
      <c r="K25" s="16">
        <v>1</v>
      </c>
      <c r="L25" s="17"/>
    </row>
    <row r="26" spans="1:12" ht="21" x14ac:dyDescent="0.6">
      <c r="A26" s="42" t="s">
        <v>106</v>
      </c>
      <c r="B26" s="43"/>
      <c r="C26" s="43"/>
      <c r="D26" s="43"/>
      <c r="E26" s="43"/>
      <c r="F26" s="43"/>
      <c r="G26" s="44"/>
      <c r="H26" s="37">
        <v>46030</v>
      </c>
      <c r="I26" s="37">
        <v>46030</v>
      </c>
      <c r="J26" s="15">
        <v>0.2</v>
      </c>
      <c r="K26" s="16">
        <v>1</v>
      </c>
      <c r="L26" s="17"/>
    </row>
    <row r="27" spans="1:12" ht="21" x14ac:dyDescent="0.6">
      <c r="A27" s="42" t="s">
        <v>129</v>
      </c>
      <c r="B27" s="43"/>
      <c r="C27" s="43"/>
      <c r="D27" s="43"/>
      <c r="E27" s="43"/>
      <c r="F27" s="43"/>
      <c r="G27" s="44"/>
      <c r="H27" s="37">
        <v>46035</v>
      </c>
      <c r="I27" s="37">
        <v>46035</v>
      </c>
      <c r="J27" s="15">
        <v>0.5</v>
      </c>
      <c r="K27" s="16">
        <v>1</v>
      </c>
      <c r="L27" s="17"/>
    </row>
    <row r="28" spans="1:12" ht="21" x14ac:dyDescent="0.6">
      <c r="A28" s="42" t="s">
        <v>132</v>
      </c>
      <c r="B28" s="43"/>
      <c r="C28" s="43"/>
      <c r="D28" s="43"/>
      <c r="E28" s="43"/>
      <c r="F28" s="43"/>
      <c r="G28" s="44"/>
      <c r="H28" s="37">
        <v>46036</v>
      </c>
      <c r="I28" s="37">
        <v>46036</v>
      </c>
      <c r="J28" s="15">
        <v>0.5</v>
      </c>
      <c r="K28" s="16">
        <v>1</v>
      </c>
      <c r="L28" s="17"/>
    </row>
    <row r="29" spans="1:12" ht="21" x14ac:dyDescent="0.6">
      <c r="A29" s="42" t="s">
        <v>134</v>
      </c>
      <c r="B29" s="43"/>
      <c r="C29" s="43"/>
      <c r="D29" s="43"/>
      <c r="E29" s="43"/>
      <c r="F29" s="43"/>
      <c r="G29" s="44"/>
      <c r="H29" s="37">
        <v>46036</v>
      </c>
      <c r="I29" s="37">
        <v>46036</v>
      </c>
      <c r="J29" s="15">
        <v>0.4</v>
      </c>
      <c r="K29" s="16">
        <v>1</v>
      </c>
      <c r="L29" s="17"/>
    </row>
    <row r="30" spans="1:12" ht="21" x14ac:dyDescent="0.6">
      <c r="A30" s="42" t="s">
        <v>141</v>
      </c>
      <c r="B30" s="43"/>
      <c r="C30" s="43"/>
      <c r="D30" s="43"/>
      <c r="E30" s="43"/>
      <c r="F30" s="43"/>
      <c r="G30" s="44"/>
      <c r="H30" s="37">
        <v>46038</v>
      </c>
      <c r="I30" s="37">
        <v>46038</v>
      </c>
      <c r="J30" s="15">
        <v>1</v>
      </c>
      <c r="K30" s="16">
        <v>1</v>
      </c>
      <c r="L30" s="17"/>
    </row>
    <row r="31" spans="1:12" ht="21" x14ac:dyDescent="0.6">
      <c r="A31" s="42" t="s">
        <v>142</v>
      </c>
      <c r="B31" s="43"/>
      <c r="C31" s="43"/>
      <c r="D31" s="43"/>
      <c r="E31" s="43"/>
      <c r="F31" s="43"/>
      <c r="G31" s="44"/>
      <c r="H31" s="37">
        <v>46041</v>
      </c>
      <c r="I31" s="37">
        <v>46041</v>
      </c>
      <c r="J31" s="15">
        <v>0.5</v>
      </c>
      <c r="K31" s="16">
        <v>1</v>
      </c>
      <c r="L31" s="17" t="s">
        <v>143</v>
      </c>
    </row>
    <row r="32" spans="1:12" ht="21" x14ac:dyDescent="0.6">
      <c r="A32" s="42" t="s">
        <v>148</v>
      </c>
      <c r="B32" s="43"/>
      <c r="C32" s="43"/>
      <c r="D32" s="43"/>
      <c r="E32" s="43"/>
      <c r="F32" s="43"/>
      <c r="G32" s="44"/>
      <c r="H32" s="37">
        <v>46042</v>
      </c>
      <c r="I32" s="37">
        <v>46042</v>
      </c>
      <c r="J32" s="15">
        <v>0.25</v>
      </c>
      <c r="K32" s="16">
        <v>1</v>
      </c>
      <c r="L32" s="17"/>
    </row>
    <row r="33" spans="1:12" ht="21" x14ac:dyDescent="0.6">
      <c r="A33" s="42" t="s">
        <v>156</v>
      </c>
      <c r="B33" s="43"/>
      <c r="C33" s="43"/>
      <c r="D33" s="43"/>
      <c r="E33" s="43"/>
      <c r="F33" s="43"/>
      <c r="G33" s="44"/>
      <c r="H33" s="37">
        <v>46044</v>
      </c>
      <c r="I33" s="37">
        <v>46044</v>
      </c>
      <c r="J33" s="15">
        <v>0.5</v>
      </c>
      <c r="K33" s="16">
        <v>1</v>
      </c>
      <c r="L33" s="17"/>
    </row>
    <row r="34" spans="1:12" ht="21" x14ac:dyDescent="0.6">
      <c r="A34" s="42"/>
      <c r="B34" s="43"/>
      <c r="C34" s="43"/>
      <c r="D34" s="43"/>
      <c r="E34" s="43"/>
      <c r="F34" s="43"/>
      <c r="G34" s="44"/>
      <c r="H34" s="37"/>
      <c r="I34" s="37"/>
      <c r="J34" s="15"/>
      <c r="K34" s="16"/>
      <c r="L34" s="17"/>
    </row>
    <row r="35" spans="1:12" ht="20.399999999999999" x14ac:dyDescent="0.55000000000000004">
      <c r="A35" s="57" t="s">
        <v>44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ht="21" x14ac:dyDescent="0.6">
      <c r="A36" s="42" t="s">
        <v>69</v>
      </c>
      <c r="B36" s="43"/>
      <c r="C36" s="43"/>
      <c r="D36" s="43"/>
      <c r="E36" s="43"/>
      <c r="F36" s="43"/>
      <c r="G36" s="44"/>
      <c r="H36" s="14">
        <v>46015</v>
      </c>
      <c r="I36" s="14">
        <v>46015</v>
      </c>
      <c r="J36" s="15">
        <v>0.3</v>
      </c>
      <c r="K36" s="16">
        <v>1</v>
      </c>
      <c r="L36" s="17"/>
    </row>
    <row r="37" spans="1:12" ht="21" x14ac:dyDescent="0.6">
      <c r="A37" s="42" t="s">
        <v>70</v>
      </c>
      <c r="B37" s="43"/>
      <c r="C37" s="43"/>
      <c r="D37" s="43"/>
      <c r="E37" s="43"/>
      <c r="F37" s="43"/>
      <c r="G37" s="44"/>
      <c r="H37" s="14">
        <v>46015</v>
      </c>
      <c r="I37" s="14">
        <v>46015</v>
      </c>
      <c r="J37" s="15">
        <v>0.2</v>
      </c>
      <c r="K37" s="16">
        <v>1</v>
      </c>
      <c r="L37" s="17"/>
    </row>
    <row r="38" spans="1:12" ht="21" x14ac:dyDescent="0.6">
      <c r="A38" s="42" t="s">
        <v>73</v>
      </c>
      <c r="B38" s="43"/>
      <c r="C38" s="43"/>
      <c r="D38" s="43"/>
      <c r="E38" s="43"/>
      <c r="F38" s="43"/>
      <c r="G38" s="44"/>
      <c r="H38" s="14">
        <v>46021</v>
      </c>
      <c r="I38" s="14">
        <v>46021</v>
      </c>
      <c r="J38" s="15">
        <v>0.1</v>
      </c>
      <c r="K38" s="16">
        <v>1</v>
      </c>
      <c r="L38" s="17"/>
    </row>
    <row r="39" spans="1:12" ht="21" x14ac:dyDescent="0.6">
      <c r="A39" s="42" t="s">
        <v>80</v>
      </c>
      <c r="B39" s="43"/>
      <c r="C39" s="43"/>
      <c r="D39" s="43"/>
      <c r="E39" s="43"/>
      <c r="F39" s="43"/>
      <c r="G39" s="44"/>
      <c r="H39" s="14">
        <v>46027</v>
      </c>
      <c r="I39" s="14">
        <v>46027</v>
      </c>
      <c r="J39" s="15">
        <v>0.1</v>
      </c>
      <c r="K39" s="16">
        <v>1</v>
      </c>
      <c r="L39" s="17"/>
    </row>
    <row r="40" spans="1:12" ht="21" x14ac:dyDescent="0.6">
      <c r="A40" s="42" t="s">
        <v>81</v>
      </c>
      <c r="B40" s="43"/>
      <c r="C40" s="43"/>
      <c r="D40" s="43"/>
      <c r="E40" s="43"/>
      <c r="F40" s="43"/>
      <c r="G40" s="44"/>
      <c r="H40" s="14">
        <v>46027</v>
      </c>
      <c r="I40" s="14">
        <v>46027</v>
      </c>
      <c r="J40" s="15">
        <v>0.05</v>
      </c>
      <c r="K40" s="16">
        <v>1</v>
      </c>
      <c r="L40" s="17"/>
    </row>
    <row r="41" spans="1:12" ht="21" x14ac:dyDescent="0.6">
      <c r="A41" s="42" t="s">
        <v>105</v>
      </c>
      <c r="B41" s="43"/>
      <c r="C41" s="43"/>
      <c r="D41" s="43"/>
      <c r="E41" s="43"/>
      <c r="F41" s="43"/>
      <c r="G41" s="44"/>
      <c r="H41" s="14">
        <v>46030</v>
      </c>
      <c r="I41" s="14">
        <v>46030</v>
      </c>
      <c r="J41" s="15">
        <v>0.05</v>
      </c>
      <c r="K41" s="16">
        <v>1</v>
      </c>
      <c r="L41" s="17"/>
    </row>
    <row r="42" spans="1:12" ht="21" x14ac:dyDescent="0.6">
      <c r="A42" s="76" t="s">
        <v>116</v>
      </c>
      <c r="B42" s="74"/>
      <c r="C42" s="74"/>
      <c r="D42" s="74"/>
      <c r="E42" s="74"/>
      <c r="F42" s="74"/>
      <c r="G42" s="75"/>
      <c r="H42" s="14">
        <v>46034</v>
      </c>
      <c r="I42" s="14">
        <v>46034</v>
      </c>
      <c r="J42" s="15">
        <v>0.2</v>
      </c>
      <c r="K42" s="16">
        <v>1</v>
      </c>
      <c r="L42" s="17"/>
    </row>
    <row r="43" spans="1:12" ht="21" x14ac:dyDescent="0.6">
      <c r="A43" s="76" t="s">
        <v>131</v>
      </c>
      <c r="B43" s="74"/>
      <c r="C43" s="74"/>
      <c r="D43" s="74"/>
      <c r="E43" s="74"/>
      <c r="F43" s="74"/>
      <c r="G43" s="75"/>
      <c r="H43" s="14">
        <v>46035</v>
      </c>
      <c r="I43" s="14">
        <v>46035</v>
      </c>
      <c r="J43" s="15">
        <v>0.2</v>
      </c>
      <c r="K43" s="16">
        <v>1</v>
      </c>
      <c r="L43" s="17"/>
    </row>
    <row r="44" spans="1:12" ht="21" x14ac:dyDescent="0.6">
      <c r="A44" s="76" t="s">
        <v>133</v>
      </c>
      <c r="B44" s="74"/>
      <c r="C44" s="74"/>
      <c r="D44" s="74"/>
      <c r="E44" s="74"/>
      <c r="F44" s="74"/>
      <c r="G44" s="75"/>
      <c r="H44" s="14">
        <v>46036</v>
      </c>
      <c r="I44" s="14">
        <v>46036</v>
      </c>
      <c r="J44" s="15">
        <v>0.1</v>
      </c>
      <c r="K44" s="16">
        <v>1</v>
      </c>
      <c r="L44" s="17"/>
    </row>
    <row r="45" spans="1:12" ht="20.399999999999999" x14ac:dyDescent="0.55000000000000004">
      <c r="A45" s="57" t="s">
        <v>45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s="41" customFormat="1" ht="30" customHeight="1" x14ac:dyDescent="0.25">
      <c r="A46" s="63" t="s">
        <v>107</v>
      </c>
      <c r="B46" s="64"/>
      <c r="C46" s="64"/>
      <c r="D46" s="64"/>
      <c r="E46" s="64"/>
      <c r="F46" s="64"/>
      <c r="G46" s="65"/>
      <c r="H46" s="14">
        <v>46015</v>
      </c>
      <c r="I46" s="14">
        <v>46380</v>
      </c>
      <c r="J46" s="38">
        <v>0.5</v>
      </c>
      <c r="K46" s="39">
        <v>1</v>
      </c>
      <c r="L46" s="40"/>
    </row>
    <row r="47" spans="1:12" s="41" customFormat="1" ht="23.4" customHeight="1" x14ac:dyDescent="0.25">
      <c r="A47" s="63" t="s">
        <v>108</v>
      </c>
      <c r="B47" s="64"/>
      <c r="C47" s="64"/>
      <c r="D47" s="64"/>
      <c r="E47" s="64"/>
      <c r="F47" s="64"/>
      <c r="G47" s="65"/>
      <c r="H47" s="14">
        <v>46016</v>
      </c>
      <c r="I47" s="14">
        <v>46016</v>
      </c>
      <c r="J47" s="38">
        <v>0.5</v>
      </c>
      <c r="K47" s="39">
        <v>1</v>
      </c>
      <c r="L47" s="40"/>
    </row>
    <row r="48" spans="1:12" s="41" customFormat="1" ht="25.8" customHeight="1" x14ac:dyDescent="0.25">
      <c r="A48" s="63" t="s">
        <v>109</v>
      </c>
      <c r="B48" s="64"/>
      <c r="C48" s="64"/>
      <c r="D48" s="64"/>
      <c r="E48" s="64"/>
      <c r="F48" s="64"/>
      <c r="G48" s="65"/>
      <c r="H48" s="14">
        <v>46021</v>
      </c>
      <c r="I48" s="14">
        <v>46021</v>
      </c>
      <c r="J48" s="38">
        <v>0.2</v>
      </c>
      <c r="K48" s="39">
        <v>1</v>
      </c>
      <c r="L48" s="40"/>
    </row>
    <row r="49" spans="1:12" ht="25.2" customHeight="1" x14ac:dyDescent="0.6">
      <c r="A49" s="66" t="s">
        <v>110</v>
      </c>
      <c r="B49" s="43"/>
      <c r="C49" s="43"/>
      <c r="D49" s="43"/>
      <c r="E49" s="43"/>
      <c r="F49" s="43"/>
      <c r="G49" s="44"/>
      <c r="H49" s="14">
        <v>46027</v>
      </c>
      <c r="I49" s="14">
        <v>46027</v>
      </c>
      <c r="J49" s="38">
        <v>0.1</v>
      </c>
      <c r="K49" s="39">
        <v>1</v>
      </c>
      <c r="L49" s="17"/>
    </row>
    <row r="50" spans="1:12" ht="25.2" customHeight="1" x14ac:dyDescent="0.6">
      <c r="A50" s="63" t="s">
        <v>111</v>
      </c>
      <c r="B50" s="64"/>
      <c r="C50" s="64"/>
      <c r="D50" s="64"/>
      <c r="E50" s="64"/>
      <c r="F50" s="64"/>
      <c r="G50" s="65"/>
      <c r="H50" s="14">
        <v>46027</v>
      </c>
      <c r="I50" s="14">
        <v>46027</v>
      </c>
      <c r="J50" s="38">
        <v>0.05</v>
      </c>
      <c r="K50" s="39">
        <v>1</v>
      </c>
      <c r="L50" s="17"/>
    </row>
    <row r="51" spans="1:12" ht="21" x14ac:dyDescent="0.6">
      <c r="A51" s="42" t="s">
        <v>112</v>
      </c>
      <c r="B51" s="43"/>
      <c r="C51" s="43"/>
      <c r="D51" s="43"/>
      <c r="E51" s="43"/>
      <c r="F51" s="43"/>
      <c r="G51" s="44"/>
      <c r="H51" s="14">
        <v>46030</v>
      </c>
      <c r="I51" s="14">
        <v>46030</v>
      </c>
      <c r="J51" s="15">
        <v>0.05</v>
      </c>
      <c r="K51" s="16">
        <v>1</v>
      </c>
      <c r="L51" s="17"/>
    </row>
    <row r="52" spans="1:12" ht="21" x14ac:dyDescent="0.6">
      <c r="A52" s="42" t="s">
        <v>115</v>
      </c>
      <c r="B52" s="43"/>
      <c r="C52" s="43"/>
      <c r="D52" s="43"/>
      <c r="E52" s="43"/>
      <c r="F52" s="43"/>
      <c r="G52" s="44"/>
      <c r="H52" s="14">
        <v>46034</v>
      </c>
      <c r="I52" s="14">
        <v>46034</v>
      </c>
      <c r="J52" s="15">
        <v>0.3</v>
      </c>
      <c r="K52" s="16">
        <v>1</v>
      </c>
      <c r="L52" s="17"/>
    </row>
    <row r="53" spans="1:12" ht="21" x14ac:dyDescent="0.6">
      <c r="A53" s="42" t="s">
        <v>130</v>
      </c>
      <c r="B53" s="43"/>
      <c r="C53" s="43"/>
      <c r="D53" s="43"/>
      <c r="E53" s="43"/>
      <c r="F53" s="43"/>
      <c r="G53" s="44"/>
      <c r="H53" s="14">
        <v>46035</v>
      </c>
      <c r="I53" s="14">
        <v>46035</v>
      </c>
      <c r="J53" s="15">
        <v>0.3</v>
      </c>
      <c r="K53" s="16">
        <v>1</v>
      </c>
      <c r="L53" s="17"/>
    </row>
    <row r="54" spans="1:12" ht="20.399999999999999" x14ac:dyDescent="0.55000000000000004">
      <c r="A54" s="57" t="s">
        <v>46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9"/>
    </row>
    <row r="55" spans="1:12" ht="21" x14ac:dyDescent="0.6">
      <c r="A55" s="42" t="s">
        <v>60</v>
      </c>
      <c r="B55" s="43"/>
      <c r="C55" s="43"/>
      <c r="D55" s="43"/>
      <c r="E55" s="43"/>
      <c r="F55" s="43"/>
      <c r="G55" s="44"/>
      <c r="H55" s="14"/>
      <c r="I55" s="14"/>
      <c r="J55" s="15"/>
      <c r="K55" s="16"/>
      <c r="L55" s="17"/>
    </row>
    <row r="56" spans="1:12" ht="21" x14ac:dyDescent="0.6">
      <c r="A56" s="42" t="s">
        <v>61</v>
      </c>
      <c r="B56" s="43"/>
      <c r="C56" s="43"/>
      <c r="D56" s="43"/>
      <c r="E56" s="43"/>
      <c r="F56" s="43"/>
      <c r="G56" s="44"/>
      <c r="H56" s="14"/>
      <c r="I56" s="14"/>
      <c r="J56" s="15"/>
      <c r="K56" s="16"/>
      <c r="L56" s="17"/>
    </row>
    <row r="57" spans="1:12" ht="21" x14ac:dyDescent="0.6">
      <c r="A57" s="60"/>
      <c r="B57" s="61"/>
      <c r="C57" s="61"/>
      <c r="D57" s="61"/>
      <c r="E57" s="61"/>
      <c r="F57" s="61"/>
      <c r="G57" s="62"/>
      <c r="H57" s="18"/>
      <c r="I57" s="18"/>
      <c r="J57" s="19">
        <f>SUM(J7:J56)</f>
        <v>16.149999999999999</v>
      </c>
      <c r="K57" s="20">
        <f>AVERAGE(K7:K56)</f>
        <v>1</v>
      </c>
      <c r="L57" s="21"/>
    </row>
  </sheetData>
  <mergeCells count="56">
    <mergeCell ref="A53:G53"/>
    <mergeCell ref="A43:G43"/>
    <mergeCell ref="A28:G28"/>
    <mergeCell ref="A44:G44"/>
    <mergeCell ref="A29:G29"/>
    <mergeCell ref="A30:G30"/>
    <mergeCell ref="A31:G31"/>
    <mergeCell ref="A32:G32"/>
    <mergeCell ref="A33:G33"/>
    <mergeCell ref="A34:G34"/>
    <mergeCell ref="A51:G51"/>
    <mergeCell ref="A37:G37"/>
    <mergeCell ref="A38:G38"/>
    <mergeCell ref="A20:G20"/>
    <mergeCell ref="A21:G21"/>
    <mergeCell ref="A22:G22"/>
    <mergeCell ref="A23:G23"/>
    <mergeCell ref="A39:G39"/>
    <mergeCell ref="A40:G40"/>
    <mergeCell ref="A24:G24"/>
    <mergeCell ref="A27:G27"/>
    <mergeCell ref="A42:G42"/>
    <mergeCell ref="A18:G18"/>
    <mergeCell ref="A47:G47"/>
    <mergeCell ref="A48:G48"/>
    <mergeCell ref="A49:G49"/>
    <mergeCell ref="A50:G50"/>
    <mergeCell ref="A26:G26"/>
    <mergeCell ref="A57:G57"/>
    <mergeCell ref="A56:G56"/>
    <mergeCell ref="A55:G55"/>
    <mergeCell ref="A25:G25"/>
    <mergeCell ref="A10:G10"/>
    <mergeCell ref="A54:L54"/>
    <mergeCell ref="A35:L35"/>
    <mergeCell ref="A36:G36"/>
    <mergeCell ref="A45:L45"/>
    <mergeCell ref="A46:G46"/>
    <mergeCell ref="A52:G52"/>
    <mergeCell ref="A15:G15"/>
    <mergeCell ref="A19:G19"/>
    <mergeCell ref="A16:G16"/>
    <mergeCell ref="A41:G41"/>
    <mergeCell ref="A17:G17"/>
    <mergeCell ref="A7:G7"/>
    <mergeCell ref="A1:G1"/>
    <mergeCell ref="B2:G2"/>
    <mergeCell ref="B3:G3"/>
    <mergeCell ref="A5:G5"/>
    <mergeCell ref="A6:L6"/>
    <mergeCell ref="A8:G8"/>
    <mergeCell ref="A11:G11"/>
    <mergeCell ref="A12:G12"/>
    <mergeCell ref="A13:G13"/>
    <mergeCell ref="A14:G14"/>
    <mergeCell ref="A9:G9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69FA-6E78-41FB-BBE8-89995587ACAD}">
  <sheetPr>
    <tabColor theme="9" tint="0.59999389629810485"/>
  </sheetPr>
  <dimension ref="A1:L53"/>
  <sheetViews>
    <sheetView topLeftCell="A10" workbookViewId="0">
      <selection activeCell="K14" sqref="K14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30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8" t="s">
        <v>38</v>
      </c>
      <c r="B5" s="68"/>
      <c r="C5" s="68"/>
      <c r="D5" s="68"/>
      <c r="E5" s="68"/>
      <c r="F5" s="68"/>
      <c r="G5" s="68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42" t="s">
        <v>83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0.5</v>
      </c>
      <c r="K7" s="16">
        <v>1</v>
      </c>
      <c r="L7" s="17"/>
    </row>
    <row r="8" spans="1:12" ht="21" x14ac:dyDescent="0.6">
      <c r="A8" s="42" t="s">
        <v>87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0.5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1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1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0.5</v>
      </c>
      <c r="K12" s="16">
        <v>1</v>
      </c>
      <c r="L12" s="17"/>
    </row>
    <row r="13" spans="1:12" ht="21" x14ac:dyDescent="0.6">
      <c r="A13" s="42" t="s">
        <v>84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100</v>
      </c>
      <c r="B14" s="43"/>
      <c r="C14" s="43"/>
      <c r="D14" s="43"/>
      <c r="E14" s="43"/>
      <c r="F14" s="43"/>
      <c r="G14" s="44"/>
      <c r="H14" s="14">
        <v>46029</v>
      </c>
      <c r="I14" s="14">
        <v>46029</v>
      </c>
      <c r="J14" s="15">
        <v>0.1</v>
      </c>
      <c r="K14" s="16">
        <v>0.4</v>
      </c>
      <c r="L14" s="17"/>
    </row>
    <row r="15" spans="1:12" ht="21" x14ac:dyDescent="0.6">
      <c r="A15" s="42" t="s">
        <v>101</v>
      </c>
      <c r="B15" s="43"/>
      <c r="C15" s="43"/>
      <c r="D15" s="43"/>
      <c r="E15" s="43"/>
      <c r="F15" s="43"/>
      <c r="G15" s="44"/>
      <c r="H15" s="14">
        <v>46030</v>
      </c>
      <c r="I15" s="14">
        <v>46030</v>
      </c>
      <c r="J15" s="15">
        <v>0.2</v>
      </c>
      <c r="K15" s="16">
        <v>1</v>
      </c>
      <c r="L15" s="17"/>
    </row>
    <row r="16" spans="1:12" ht="21" x14ac:dyDescent="0.6">
      <c r="A16" s="42" t="s">
        <v>117</v>
      </c>
      <c r="B16" s="43"/>
      <c r="C16" s="43"/>
      <c r="D16" s="43"/>
      <c r="E16" s="43"/>
      <c r="F16" s="43"/>
      <c r="G16" s="44"/>
      <c r="H16" s="14">
        <v>46031</v>
      </c>
      <c r="I16" s="14">
        <v>46031</v>
      </c>
      <c r="J16" s="15">
        <v>0.2</v>
      </c>
      <c r="K16" s="16">
        <v>1</v>
      </c>
      <c r="L16" s="17"/>
    </row>
    <row r="17" spans="1:12" ht="21" x14ac:dyDescent="0.6">
      <c r="A17" s="42" t="s">
        <v>121</v>
      </c>
      <c r="B17" s="43"/>
      <c r="C17" s="43"/>
      <c r="D17" s="43"/>
      <c r="E17" s="43"/>
      <c r="F17" s="43"/>
      <c r="G17" s="44"/>
      <c r="H17" s="14">
        <v>46031</v>
      </c>
      <c r="I17" s="14">
        <v>46031</v>
      </c>
      <c r="J17" s="15">
        <v>0.2</v>
      </c>
      <c r="K17" s="16">
        <v>1</v>
      </c>
      <c r="L17" s="17"/>
    </row>
    <row r="18" spans="1:12" ht="21" x14ac:dyDescent="0.6">
      <c r="A18" s="67" t="s">
        <v>124</v>
      </c>
      <c r="B18" s="67"/>
      <c r="C18" s="67"/>
      <c r="D18" s="67"/>
      <c r="E18" s="67"/>
      <c r="F18" s="67"/>
      <c r="G18" s="67"/>
      <c r="H18" s="14">
        <v>46034</v>
      </c>
      <c r="I18" s="14">
        <v>46034</v>
      </c>
      <c r="J18" s="15">
        <v>0.2</v>
      </c>
      <c r="K18" s="16">
        <v>1</v>
      </c>
      <c r="L18" s="17"/>
    </row>
    <row r="19" spans="1:12" ht="21" x14ac:dyDescent="0.6">
      <c r="A19" s="67" t="s">
        <v>145</v>
      </c>
      <c r="B19" s="67"/>
      <c r="C19" s="67"/>
      <c r="D19" s="67"/>
      <c r="E19" s="67"/>
      <c r="F19" s="67"/>
      <c r="G19" s="67"/>
      <c r="H19" s="14">
        <v>46042</v>
      </c>
      <c r="I19" s="14">
        <v>46042</v>
      </c>
      <c r="J19" s="15">
        <v>0.2</v>
      </c>
      <c r="K19" s="16">
        <v>1</v>
      </c>
      <c r="L19" s="17"/>
    </row>
    <row r="20" spans="1:12" ht="21" x14ac:dyDescent="0.6">
      <c r="A20" s="67" t="s">
        <v>151</v>
      </c>
      <c r="B20" s="67"/>
      <c r="C20" s="67"/>
      <c r="D20" s="67"/>
      <c r="E20" s="67"/>
      <c r="F20" s="67"/>
      <c r="G20" s="67"/>
      <c r="H20" s="14">
        <v>46043</v>
      </c>
      <c r="I20" s="14">
        <v>46043</v>
      </c>
      <c r="J20" s="15">
        <v>0.2</v>
      </c>
      <c r="K20" s="16">
        <v>1</v>
      </c>
      <c r="L20" s="17"/>
    </row>
    <row r="21" spans="1:12" ht="21" x14ac:dyDescent="0.6">
      <c r="A21" s="67" t="s">
        <v>154</v>
      </c>
      <c r="B21" s="67"/>
      <c r="C21" s="67"/>
      <c r="D21" s="67"/>
      <c r="E21" s="67"/>
      <c r="F21" s="67"/>
      <c r="G21" s="67"/>
      <c r="H21" s="14">
        <v>46043</v>
      </c>
      <c r="I21" s="14">
        <v>46043</v>
      </c>
      <c r="J21" s="15">
        <v>0.2</v>
      </c>
      <c r="K21" s="16">
        <v>1</v>
      </c>
      <c r="L21" s="17"/>
    </row>
    <row r="22" spans="1:12" ht="21" x14ac:dyDescent="0.6">
      <c r="A22" s="67" t="s">
        <v>155</v>
      </c>
      <c r="B22" s="67"/>
      <c r="C22" s="67"/>
      <c r="D22" s="67"/>
      <c r="E22" s="67"/>
      <c r="F22" s="67"/>
      <c r="G22" s="67"/>
      <c r="H22" s="14">
        <v>46043</v>
      </c>
      <c r="I22" s="14">
        <v>46043</v>
      </c>
      <c r="J22" s="15">
        <v>0.3</v>
      </c>
      <c r="K22" s="16">
        <v>1</v>
      </c>
      <c r="L22" s="17"/>
    </row>
    <row r="23" spans="1:12" ht="21" x14ac:dyDescent="0.6">
      <c r="A23" s="67" t="s">
        <v>160</v>
      </c>
      <c r="B23" s="67"/>
      <c r="C23" s="67"/>
      <c r="D23" s="67"/>
      <c r="E23" s="67"/>
      <c r="F23" s="67"/>
      <c r="G23" s="67"/>
      <c r="H23" s="14">
        <v>46045</v>
      </c>
      <c r="I23" s="14">
        <v>46045</v>
      </c>
      <c r="J23" s="15">
        <v>0.5</v>
      </c>
      <c r="K23" s="16">
        <v>1</v>
      </c>
      <c r="L23" s="17"/>
    </row>
    <row r="24" spans="1:12" ht="21" x14ac:dyDescent="0.6">
      <c r="A24" s="67" t="s">
        <v>157</v>
      </c>
      <c r="B24" s="67"/>
      <c r="C24" s="67"/>
      <c r="D24" s="67"/>
      <c r="E24" s="67"/>
      <c r="F24" s="67"/>
      <c r="G24" s="67"/>
      <c r="H24" s="14">
        <v>46045</v>
      </c>
      <c r="I24" s="14">
        <v>46045</v>
      </c>
      <c r="J24" s="15">
        <v>0.5</v>
      </c>
      <c r="K24" s="16">
        <v>1</v>
      </c>
      <c r="L24" s="17"/>
    </row>
    <row r="25" spans="1:12" ht="21" x14ac:dyDescent="0.6">
      <c r="A25" s="67" t="s">
        <v>158</v>
      </c>
      <c r="B25" s="67"/>
      <c r="C25" s="67"/>
      <c r="D25" s="67"/>
      <c r="E25" s="67"/>
      <c r="F25" s="67"/>
      <c r="G25" s="67"/>
      <c r="H25" s="14">
        <v>46048</v>
      </c>
      <c r="I25" s="14">
        <v>46048</v>
      </c>
      <c r="J25" s="15">
        <v>0.5</v>
      </c>
      <c r="K25" s="16">
        <v>1</v>
      </c>
      <c r="L25" s="17"/>
    </row>
    <row r="26" spans="1:12" ht="21" x14ac:dyDescent="0.6">
      <c r="A26" s="67" t="s">
        <v>159</v>
      </c>
      <c r="B26" s="67"/>
      <c r="C26" s="67"/>
      <c r="D26" s="67"/>
      <c r="E26" s="67"/>
      <c r="F26" s="67"/>
      <c r="G26" s="67"/>
      <c r="H26" s="14">
        <v>46048</v>
      </c>
      <c r="I26" s="14">
        <v>46048</v>
      </c>
      <c r="J26" s="15">
        <v>0.5</v>
      </c>
      <c r="K26" s="16">
        <v>1</v>
      </c>
      <c r="L26" s="17"/>
    </row>
    <row r="27" spans="1:12" ht="21" x14ac:dyDescent="0.6">
      <c r="A27" s="67"/>
      <c r="B27" s="67"/>
      <c r="C27" s="67"/>
      <c r="D27" s="67"/>
      <c r="E27" s="67"/>
      <c r="F27" s="67"/>
      <c r="G27" s="67"/>
      <c r="H27" s="14"/>
      <c r="I27" s="14"/>
      <c r="J27" s="36"/>
      <c r="K27" s="16"/>
      <c r="L27" s="17"/>
    </row>
    <row r="28" spans="1:12" ht="21" x14ac:dyDescent="0.6">
      <c r="A28" s="67"/>
      <c r="B28" s="67"/>
      <c r="C28" s="67"/>
      <c r="D28" s="67"/>
      <c r="E28" s="67"/>
      <c r="F28" s="67"/>
      <c r="G28" s="67"/>
      <c r="H28" s="14"/>
      <c r="I28" s="14"/>
      <c r="J28" s="36"/>
      <c r="K28" s="16"/>
      <c r="L28" s="17"/>
    </row>
    <row r="29" spans="1:12" ht="21" x14ac:dyDescent="0.6">
      <c r="A29" s="67"/>
      <c r="B29" s="67"/>
      <c r="C29" s="67"/>
      <c r="D29" s="67"/>
      <c r="E29" s="67"/>
      <c r="F29" s="67"/>
      <c r="G29" s="67"/>
      <c r="H29" s="14"/>
      <c r="I29" s="14"/>
      <c r="J29" s="36"/>
      <c r="K29" s="16"/>
      <c r="L29" s="17"/>
    </row>
    <row r="30" spans="1:12" ht="20.399999999999999" x14ac:dyDescent="0.55000000000000004">
      <c r="A30" s="57" t="s">
        <v>44</v>
      </c>
      <c r="B30" s="58"/>
      <c r="C30" s="58"/>
      <c r="D30" s="58"/>
      <c r="E30" s="58"/>
      <c r="F30" s="58"/>
      <c r="G30" s="58"/>
      <c r="H30" s="69"/>
      <c r="I30" s="69"/>
      <c r="J30" s="58"/>
      <c r="K30" s="70"/>
      <c r="L30" s="59"/>
    </row>
    <row r="31" spans="1:12" ht="21" x14ac:dyDescent="0.6">
      <c r="A31" s="67" t="s">
        <v>99</v>
      </c>
      <c r="B31" s="67"/>
      <c r="C31" s="67"/>
      <c r="D31" s="67"/>
      <c r="E31" s="67"/>
      <c r="F31" s="67"/>
      <c r="G31" s="67"/>
      <c r="H31" s="14">
        <v>46029</v>
      </c>
      <c r="I31" s="14">
        <v>46029</v>
      </c>
      <c r="J31" s="15">
        <v>0.1</v>
      </c>
      <c r="K31" s="16">
        <v>1</v>
      </c>
      <c r="L31" s="17"/>
    </row>
    <row r="32" spans="1:12" ht="21" x14ac:dyDescent="0.6">
      <c r="A32" s="42" t="s">
        <v>120</v>
      </c>
      <c r="B32" s="43"/>
      <c r="C32" s="43"/>
      <c r="D32" s="43"/>
      <c r="E32" s="43"/>
      <c r="F32" s="43"/>
      <c r="G32" s="44"/>
      <c r="H32" s="14">
        <v>46031</v>
      </c>
      <c r="I32" s="14">
        <v>46031</v>
      </c>
      <c r="J32" s="15">
        <v>0.1</v>
      </c>
      <c r="K32" s="16">
        <v>1</v>
      </c>
      <c r="L32" s="17"/>
    </row>
    <row r="33" spans="1:12" ht="21" x14ac:dyDescent="0.6">
      <c r="A33" s="42" t="s">
        <v>123</v>
      </c>
      <c r="B33" s="43"/>
      <c r="C33" s="43"/>
      <c r="D33" s="43"/>
      <c r="E33" s="43"/>
      <c r="F33" s="43"/>
      <c r="G33" s="44"/>
      <c r="H33" s="14">
        <v>46031</v>
      </c>
      <c r="I33" s="14">
        <v>46031</v>
      </c>
      <c r="J33" s="15">
        <v>0.1</v>
      </c>
      <c r="K33" s="16">
        <v>1</v>
      </c>
      <c r="L33" s="17"/>
    </row>
    <row r="34" spans="1:12" ht="21" x14ac:dyDescent="0.6">
      <c r="A34" s="42" t="s">
        <v>126</v>
      </c>
      <c r="B34" s="43"/>
      <c r="C34" s="43"/>
      <c r="D34" s="43"/>
      <c r="E34" s="43"/>
      <c r="F34" s="43"/>
      <c r="G34" s="44"/>
      <c r="H34" s="14">
        <v>46034</v>
      </c>
      <c r="I34" s="14">
        <v>46034</v>
      </c>
      <c r="J34" s="15">
        <v>0.1</v>
      </c>
      <c r="K34" s="16">
        <v>1</v>
      </c>
      <c r="L34" s="17"/>
    </row>
    <row r="35" spans="1:12" ht="21" x14ac:dyDescent="0.6">
      <c r="A35" s="67" t="s">
        <v>147</v>
      </c>
      <c r="B35" s="67"/>
      <c r="C35" s="67"/>
      <c r="D35" s="67"/>
      <c r="E35" s="67"/>
      <c r="F35" s="67"/>
      <c r="G35" s="67"/>
      <c r="H35" s="14">
        <v>46042</v>
      </c>
      <c r="I35" s="14">
        <v>46042</v>
      </c>
      <c r="J35" s="15">
        <v>0.1</v>
      </c>
      <c r="K35" s="16">
        <v>1</v>
      </c>
      <c r="L35" s="17"/>
    </row>
    <row r="36" spans="1:12" ht="21" x14ac:dyDescent="0.6">
      <c r="A36" s="42" t="s">
        <v>153</v>
      </c>
      <c r="B36" s="43"/>
      <c r="C36" s="43"/>
      <c r="D36" s="43"/>
      <c r="E36" s="43"/>
      <c r="F36" s="43"/>
      <c r="G36" s="44"/>
      <c r="H36" s="14">
        <v>46043</v>
      </c>
      <c r="I36" s="14">
        <v>46043</v>
      </c>
      <c r="J36" s="15">
        <v>0.1</v>
      </c>
      <c r="K36" s="16">
        <v>1</v>
      </c>
      <c r="L36" s="17"/>
    </row>
    <row r="37" spans="1:12" ht="21" x14ac:dyDescent="0.6">
      <c r="A37" s="67"/>
      <c r="B37" s="67"/>
      <c r="C37" s="67"/>
      <c r="D37" s="67"/>
      <c r="E37" s="67"/>
      <c r="F37" s="67"/>
      <c r="G37" s="67"/>
      <c r="H37" s="14"/>
      <c r="I37" s="14"/>
      <c r="J37" s="36"/>
      <c r="K37" s="16"/>
      <c r="L37" s="17"/>
    </row>
    <row r="38" spans="1:12" ht="21" x14ac:dyDescent="0.6">
      <c r="A38" s="67"/>
      <c r="B38" s="67"/>
      <c r="C38" s="67"/>
      <c r="D38" s="67"/>
      <c r="E38" s="67"/>
      <c r="F38" s="67"/>
      <c r="G38" s="67"/>
      <c r="H38" s="14"/>
      <c r="I38" s="14"/>
      <c r="J38" s="36"/>
      <c r="K38" s="16"/>
      <c r="L38" s="17"/>
    </row>
    <row r="39" spans="1:12" ht="21" x14ac:dyDescent="0.6">
      <c r="A39" s="67"/>
      <c r="B39" s="67"/>
      <c r="C39" s="67"/>
      <c r="D39" s="67"/>
      <c r="E39" s="67"/>
      <c r="F39" s="67"/>
      <c r="G39" s="67"/>
      <c r="H39" s="14"/>
      <c r="I39" s="14"/>
      <c r="J39" s="36"/>
      <c r="K39" s="16"/>
      <c r="L39" s="17"/>
    </row>
    <row r="40" spans="1:12" ht="20.399999999999999" x14ac:dyDescent="0.55000000000000004">
      <c r="A40" s="57" t="s">
        <v>45</v>
      </c>
      <c r="B40" s="58"/>
      <c r="C40" s="58"/>
      <c r="D40" s="58"/>
      <c r="E40" s="58"/>
      <c r="F40" s="58"/>
      <c r="G40" s="58"/>
      <c r="H40" s="69"/>
      <c r="I40" s="69"/>
      <c r="J40" s="58"/>
      <c r="K40" s="70"/>
      <c r="L40" s="59"/>
    </row>
    <row r="41" spans="1:12" ht="21" x14ac:dyDescent="0.6">
      <c r="A41" s="67" t="s">
        <v>119</v>
      </c>
      <c r="B41" s="67"/>
      <c r="C41" s="67"/>
      <c r="D41" s="67"/>
      <c r="E41" s="67"/>
      <c r="F41" s="67"/>
      <c r="G41" s="67"/>
      <c r="H41" s="14">
        <v>46029</v>
      </c>
      <c r="I41" s="14">
        <v>46029</v>
      </c>
      <c r="J41" s="15">
        <v>0.2</v>
      </c>
      <c r="K41" s="16">
        <v>1</v>
      </c>
      <c r="L41" s="17"/>
    </row>
    <row r="42" spans="1:12" ht="21" x14ac:dyDescent="0.6">
      <c r="A42" s="67" t="s">
        <v>118</v>
      </c>
      <c r="B42" s="67"/>
      <c r="C42" s="67"/>
      <c r="D42" s="67"/>
      <c r="E42" s="67"/>
      <c r="F42" s="67"/>
      <c r="G42" s="67"/>
      <c r="H42" s="14">
        <v>46031</v>
      </c>
      <c r="I42" s="14">
        <v>46031</v>
      </c>
      <c r="J42" s="15">
        <v>0.2</v>
      </c>
      <c r="K42" s="16">
        <v>1</v>
      </c>
      <c r="L42" s="17"/>
    </row>
    <row r="43" spans="1:12" ht="21" x14ac:dyDescent="0.6">
      <c r="A43" s="67" t="s">
        <v>122</v>
      </c>
      <c r="B43" s="67"/>
      <c r="C43" s="67"/>
      <c r="D43" s="67"/>
      <c r="E43" s="67"/>
      <c r="F43" s="67"/>
      <c r="G43" s="67"/>
      <c r="H43" s="14">
        <v>46031</v>
      </c>
      <c r="I43" s="14">
        <v>46031</v>
      </c>
      <c r="J43" s="15">
        <v>0.2</v>
      </c>
      <c r="K43" s="16">
        <v>1</v>
      </c>
      <c r="L43" s="17"/>
    </row>
    <row r="44" spans="1:12" ht="21" x14ac:dyDescent="0.6">
      <c r="A44" s="67" t="s">
        <v>125</v>
      </c>
      <c r="B44" s="67"/>
      <c r="C44" s="67"/>
      <c r="D44" s="67"/>
      <c r="E44" s="67"/>
      <c r="F44" s="67"/>
      <c r="G44" s="67"/>
      <c r="H44" s="14">
        <v>46034</v>
      </c>
      <c r="I44" s="14">
        <v>46034</v>
      </c>
      <c r="J44" s="15">
        <v>0.2</v>
      </c>
      <c r="K44" s="16">
        <v>1</v>
      </c>
      <c r="L44" s="17"/>
    </row>
    <row r="45" spans="1:12" ht="21" x14ac:dyDescent="0.6">
      <c r="A45" s="42" t="s">
        <v>146</v>
      </c>
      <c r="B45" s="43"/>
      <c r="C45" s="43"/>
      <c r="D45" s="43"/>
      <c r="E45" s="43"/>
      <c r="F45" s="43"/>
      <c r="G45" s="44"/>
      <c r="H45" s="14">
        <v>46042</v>
      </c>
      <c r="I45" s="14">
        <v>46042</v>
      </c>
      <c r="J45" s="15">
        <v>0.2</v>
      </c>
      <c r="K45" s="16">
        <v>1</v>
      </c>
      <c r="L45" s="17"/>
    </row>
    <row r="46" spans="1:12" ht="21" x14ac:dyDescent="0.6">
      <c r="A46" s="42" t="s">
        <v>152</v>
      </c>
      <c r="B46" s="43"/>
      <c r="C46" s="43"/>
      <c r="D46" s="43"/>
      <c r="E46" s="43"/>
      <c r="F46" s="43"/>
      <c r="G46" s="44"/>
      <c r="H46" s="14">
        <v>46043</v>
      </c>
      <c r="I46" s="14">
        <v>46043</v>
      </c>
      <c r="J46" s="15">
        <v>0.2</v>
      </c>
      <c r="K46" s="16">
        <v>1</v>
      </c>
      <c r="L46" s="17"/>
    </row>
    <row r="47" spans="1:12" ht="21" x14ac:dyDescent="0.6">
      <c r="A47" s="77"/>
      <c r="B47" s="78"/>
      <c r="C47" s="78"/>
      <c r="D47" s="78"/>
      <c r="E47" s="78"/>
      <c r="F47" s="78"/>
      <c r="G47" s="79"/>
      <c r="H47" s="14"/>
      <c r="I47" s="14"/>
      <c r="J47" s="15"/>
      <c r="K47" s="16"/>
      <c r="L47" s="17"/>
    </row>
    <row r="48" spans="1:12" ht="21" x14ac:dyDescent="0.6">
      <c r="A48" s="77"/>
      <c r="B48" s="78"/>
      <c r="C48" s="78"/>
      <c r="D48" s="78"/>
      <c r="E48" s="78"/>
      <c r="F48" s="78"/>
      <c r="G48" s="79"/>
      <c r="H48" s="14"/>
      <c r="I48" s="14"/>
      <c r="J48" s="15"/>
      <c r="K48" s="16"/>
      <c r="L48" s="17"/>
    </row>
    <row r="49" spans="1:12" ht="21" x14ac:dyDescent="0.6">
      <c r="A49" s="67"/>
      <c r="B49" s="67"/>
      <c r="C49" s="67"/>
      <c r="D49" s="67"/>
      <c r="E49" s="67"/>
      <c r="F49" s="67"/>
      <c r="G49" s="67"/>
      <c r="H49" s="14"/>
      <c r="I49" s="14"/>
      <c r="J49" s="15"/>
      <c r="K49" s="16"/>
      <c r="L49" s="17"/>
    </row>
    <row r="50" spans="1:12" ht="20.399999999999999" x14ac:dyDescent="0.55000000000000004">
      <c r="A50" s="57" t="s">
        <v>46</v>
      </c>
      <c r="B50" s="58"/>
      <c r="C50" s="58"/>
      <c r="D50" s="58"/>
      <c r="E50" s="58"/>
      <c r="F50" s="58"/>
      <c r="G50" s="58"/>
      <c r="H50" s="69"/>
      <c r="I50" s="69"/>
      <c r="J50" s="58"/>
      <c r="K50" s="70"/>
      <c r="L50" s="59"/>
    </row>
    <row r="51" spans="1:12" ht="21" x14ac:dyDescent="0.6">
      <c r="A51" s="67"/>
      <c r="B51" s="67"/>
      <c r="C51" s="67"/>
      <c r="D51" s="67"/>
      <c r="E51" s="67"/>
      <c r="F51" s="67"/>
      <c r="G51" s="67"/>
      <c r="H51" s="14"/>
      <c r="I51" s="14"/>
      <c r="J51" s="15"/>
      <c r="K51" s="16"/>
      <c r="L51" s="17"/>
    </row>
    <row r="52" spans="1:12" ht="21" x14ac:dyDescent="0.6">
      <c r="A52" s="67"/>
      <c r="B52" s="67"/>
      <c r="C52" s="67"/>
      <c r="D52" s="67"/>
      <c r="E52" s="67"/>
      <c r="F52" s="67"/>
      <c r="G52" s="67"/>
      <c r="H52" s="14"/>
      <c r="I52" s="14"/>
      <c r="J52" s="15"/>
      <c r="K52" s="16"/>
      <c r="L52" s="17"/>
    </row>
    <row r="53" spans="1:12" ht="21" x14ac:dyDescent="0.6">
      <c r="A53" s="71"/>
      <c r="B53" s="71"/>
      <c r="C53" s="71"/>
      <c r="D53" s="71"/>
      <c r="E53" s="71"/>
      <c r="F53" s="71"/>
      <c r="G53" s="71"/>
      <c r="H53" s="18"/>
      <c r="I53" s="18"/>
      <c r="J53" s="19">
        <f>SUM(J7:J52)</f>
        <v>10.199999999999994</v>
      </c>
      <c r="K53" s="20">
        <f>AVERAGE(K7:K52)</f>
        <v>0.98124999999999996</v>
      </c>
      <c r="L53" s="21"/>
    </row>
  </sheetData>
  <mergeCells count="52">
    <mergeCell ref="A48:G48"/>
    <mergeCell ref="A26:G26"/>
    <mergeCell ref="A27:G27"/>
    <mergeCell ref="A28:G28"/>
    <mergeCell ref="A29:G29"/>
    <mergeCell ref="A47:G47"/>
    <mergeCell ref="A35:G35"/>
    <mergeCell ref="A36:G36"/>
    <mergeCell ref="A20:G20"/>
    <mergeCell ref="A21:G21"/>
    <mergeCell ref="A22:G22"/>
    <mergeCell ref="A23:G23"/>
    <mergeCell ref="A25:G25"/>
    <mergeCell ref="A24:G24"/>
    <mergeCell ref="A38:G38"/>
    <mergeCell ref="A39:G39"/>
    <mergeCell ref="A50:L50"/>
    <mergeCell ref="A51:G51"/>
    <mergeCell ref="A52:G52"/>
    <mergeCell ref="A53:G53"/>
    <mergeCell ref="A18:G18"/>
    <mergeCell ref="A30:L30"/>
    <mergeCell ref="A31:G31"/>
    <mergeCell ref="A40:L40"/>
    <mergeCell ref="A41:G41"/>
    <mergeCell ref="A42:G42"/>
    <mergeCell ref="A43:G43"/>
    <mergeCell ref="A44:G44"/>
    <mergeCell ref="A19:G19"/>
    <mergeCell ref="A49:G49"/>
    <mergeCell ref="A45:G45"/>
    <mergeCell ref="A46:G46"/>
    <mergeCell ref="A7:G7"/>
    <mergeCell ref="A1:G1"/>
    <mergeCell ref="B2:G2"/>
    <mergeCell ref="B3:G3"/>
    <mergeCell ref="A5:G5"/>
    <mergeCell ref="A6:L6"/>
    <mergeCell ref="A9:G9"/>
    <mergeCell ref="A8:G8"/>
    <mergeCell ref="A37:G37"/>
    <mergeCell ref="A32:G32"/>
    <mergeCell ref="A33:G33"/>
    <mergeCell ref="A34:G34"/>
    <mergeCell ref="A15:G15"/>
    <mergeCell ref="A16:G16"/>
    <mergeCell ref="A17:G17"/>
    <mergeCell ref="A14:G14"/>
    <mergeCell ref="A13:G13"/>
    <mergeCell ref="A12:G12"/>
    <mergeCell ref="A11:G11"/>
    <mergeCell ref="A10:G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6016-FDDC-4576-9E80-18EAC2CBB2D7}">
  <sheetPr>
    <tabColor theme="9" tint="0.59999389629810485"/>
  </sheetPr>
  <dimension ref="A1:L39"/>
  <sheetViews>
    <sheetView tabSelected="1" topLeftCell="A25" workbookViewId="0">
      <selection activeCell="H24" sqref="H24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31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8" t="s">
        <v>38</v>
      </c>
      <c r="B5" s="68"/>
      <c r="C5" s="68"/>
      <c r="D5" s="68"/>
      <c r="E5" s="68"/>
      <c r="F5" s="68"/>
      <c r="G5" s="68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42" t="s">
        <v>83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0.2</v>
      </c>
      <c r="K7" s="16">
        <v>1</v>
      </c>
      <c r="L7" s="17"/>
    </row>
    <row r="8" spans="1:12" ht="21" x14ac:dyDescent="0.6">
      <c r="A8" s="42" t="s">
        <v>85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0.2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0.5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0.5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0.2</v>
      </c>
      <c r="K12" s="16">
        <v>1</v>
      </c>
      <c r="L12" s="17"/>
    </row>
    <row r="13" spans="1:12" ht="21" x14ac:dyDescent="0.6">
      <c r="A13" s="42" t="s">
        <v>86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93</v>
      </c>
      <c r="B14" s="43"/>
      <c r="C14" s="43"/>
      <c r="D14" s="43"/>
      <c r="E14" s="43"/>
      <c r="F14" s="43"/>
      <c r="G14" s="44"/>
      <c r="H14" s="14">
        <v>46028</v>
      </c>
      <c r="I14" s="14">
        <v>46028</v>
      </c>
      <c r="J14" s="15">
        <v>0.2</v>
      </c>
      <c r="K14" s="16">
        <v>1</v>
      </c>
      <c r="L14" s="17"/>
    </row>
    <row r="15" spans="1:12" ht="21" x14ac:dyDescent="0.6">
      <c r="A15" s="42" t="s">
        <v>90</v>
      </c>
      <c r="B15" s="43"/>
      <c r="C15" s="43"/>
      <c r="D15" s="43"/>
      <c r="E15" s="43"/>
      <c r="F15" s="43"/>
      <c r="G15" s="44"/>
      <c r="H15" s="14">
        <v>46028</v>
      </c>
      <c r="I15" s="14">
        <v>46028</v>
      </c>
      <c r="J15" s="15">
        <v>0.1</v>
      </c>
      <c r="K15" s="16">
        <v>1</v>
      </c>
      <c r="L15" s="17"/>
    </row>
    <row r="16" spans="1:12" ht="21" x14ac:dyDescent="0.6">
      <c r="A16" s="67" t="s">
        <v>135</v>
      </c>
      <c r="B16" s="67"/>
      <c r="C16" s="67"/>
      <c r="D16" s="67"/>
      <c r="E16" s="67"/>
      <c r="F16" s="67"/>
      <c r="G16" s="67"/>
      <c r="H16" s="14">
        <v>46028</v>
      </c>
      <c r="I16" s="14">
        <v>46028</v>
      </c>
      <c r="J16" s="15">
        <v>0.2</v>
      </c>
      <c r="K16" s="16">
        <v>1</v>
      </c>
      <c r="L16" s="17"/>
    </row>
    <row r="17" spans="1:12" ht="21" x14ac:dyDescent="0.6">
      <c r="A17" s="67" t="s">
        <v>92</v>
      </c>
      <c r="B17" s="67"/>
      <c r="C17" s="67"/>
      <c r="D17" s="67"/>
      <c r="E17" s="67"/>
      <c r="F17" s="67"/>
      <c r="G17" s="67"/>
      <c r="H17" s="14">
        <v>46028</v>
      </c>
      <c r="I17" s="14">
        <v>46028</v>
      </c>
      <c r="J17" s="15">
        <v>0.1</v>
      </c>
      <c r="K17" s="16">
        <v>1</v>
      </c>
      <c r="L17" s="17"/>
    </row>
    <row r="18" spans="1:12" ht="21" x14ac:dyDescent="0.6">
      <c r="A18" s="67" t="s">
        <v>94</v>
      </c>
      <c r="B18" s="67"/>
      <c r="C18" s="67"/>
      <c r="D18" s="67"/>
      <c r="E18" s="67"/>
      <c r="F18" s="67"/>
      <c r="G18" s="67"/>
      <c r="H18" s="14">
        <v>46029</v>
      </c>
      <c r="I18" s="14">
        <v>46029</v>
      </c>
      <c r="J18" s="15">
        <v>0.2</v>
      </c>
      <c r="K18" s="16">
        <v>1</v>
      </c>
      <c r="L18" s="17" t="s">
        <v>96</v>
      </c>
    </row>
    <row r="19" spans="1:12" ht="21" x14ac:dyDescent="0.6">
      <c r="A19" s="67" t="s">
        <v>97</v>
      </c>
      <c r="B19" s="67"/>
      <c r="C19" s="67"/>
      <c r="D19" s="67"/>
      <c r="E19" s="67"/>
      <c r="F19" s="67"/>
      <c r="G19" s="67"/>
      <c r="H19" s="14">
        <v>46029</v>
      </c>
      <c r="I19" s="14">
        <v>46029</v>
      </c>
      <c r="J19" s="15">
        <v>0.3</v>
      </c>
      <c r="K19" s="16">
        <v>1</v>
      </c>
      <c r="L19" s="17" t="s">
        <v>98</v>
      </c>
    </row>
    <row r="20" spans="1:12" ht="21" x14ac:dyDescent="0.6">
      <c r="A20" s="42" t="s">
        <v>102</v>
      </c>
      <c r="B20" s="43"/>
      <c r="C20" s="43"/>
      <c r="D20" s="43"/>
      <c r="E20" s="43"/>
      <c r="F20" s="43"/>
      <c r="G20" s="44"/>
      <c r="H20" s="37">
        <v>46030</v>
      </c>
      <c r="I20" s="37">
        <v>46030</v>
      </c>
      <c r="J20" s="15">
        <v>0.1</v>
      </c>
      <c r="K20" s="16">
        <v>1</v>
      </c>
      <c r="L20" s="17" t="s">
        <v>103</v>
      </c>
    </row>
    <row r="21" spans="1:12" ht="21" x14ac:dyDescent="0.6">
      <c r="A21" s="42" t="s">
        <v>139</v>
      </c>
      <c r="B21" s="43"/>
      <c r="C21" s="43"/>
      <c r="D21" s="43"/>
      <c r="E21" s="43"/>
      <c r="F21" s="43"/>
      <c r="G21" s="44"/>
      <c r="H21" s="14">
        <v>46037</v>
      </c>
      <c r="I21" s="14">
        <v>46037</v>
      </c>
      <c r="J21" s="15">
        <v>0.3</v>
      </c>
      <c r="K21" s="16">
        <v>1</v>
      </c>
      <c r="L21" s="17" t="s">
        <v>138</v>
      </c>
    </row>
    <row r="22" spans="1:12" ht="21" x14ac:dyDescent="0.6">
      <c r="A22" s="42" t="s">
        <v>140</v>
      </c>
      <c r="B22" s="43"/>
      <c r="C22" s="43"/>
      <c r="D22" s="43"/>
      <c r="E22" s="43"/>
      <c r="F22" s="43"/>
      <c r="G22" s="44"/>
      <c r="H22" s="14">
        <v>46037</v>
      </c>
      <c r="I22" s="14">
        <v>46037</v>
      </c>
      <c r="J22" s="15">
        <v>0.2</v>
      </c>
      <c r="K22" s="16">
        <v>1</v>
      </c>
      <c r="L22" s="17"/>
    </row>
    <row r="23" spans="1:12" ht="21" x14ac:dyDescent="0.6">
      <c r="A23" s="42" t="s">
        <v>144</v>
      </c>
      <c r="B23" s="43"/>
      <c r="C23" s="43"/>
      <c r="D23" s="43"/>
      <c r="E23" s="43"/>
      <c r="F23" s="43"/>
      <c r="G23" s="44"/>
      <c r="H23" s="14">
        <v>46041</v>
      </c>
      <c r="I23" s="14">
        <v>46041</v>
      </c>
      <c r="J23" s="15">
        <v>0.5</v>
      </c>
      <c r="K23" s="16">
        <v>1</v>
      </c>
      <c r="L23" s="17"/>
    </row>
    <row r="24" spans="1:12" ht="21" x14ac:dyDescent="0.6">
      <c r="A24" s="42" t="s">
        <v>156</v>
      </c>
      <c r="B24" s="43"/>
      <c r="C24" s="43"/>
      <c r="D24" s="43"/>
      <c r="E24" s="43"/>
      <c r="F24" s="43"/>
      <c r="G24" s="44"/>
      <c r="H24" s="37">
        <v>46044</v>
      </c>
      <c r="I24" s="37">
        <v>46044</v>
      </c>
      <c r="J24" s="15">
        <v>0.5</v>
      </c>
      <c r="K24" s="16">
        <v>1</v>
      </c>
      <c r="L24" s="17"/>
    </row>
    <row r="25" spans="1:12" ht="20.399999999999999" x14ac:dyDescent="0.55000000000000004">
      <c r="A25" s="57" t="s">
        <v>44</v>
      </c>
      <c r="B25" s="58"/>
      <c r="C25" s="58"/>
      <c r="D25" s="58"/>
      <c r="E25" s="58"/>
      <c r="F25" s="58"/>
      <c r="G25" s="58"/>
      <c r="H25" s="69"/>
      <c r="I25" s="69"/>
      <c r="J25" s="58"/>
      <c r="K25" s="70"/>
      <c r="L25" s="59"/>
    </row>
    <row r="26" spans="1:12" ht="21" x14ac:dyDescent="0.6">
      <c r="A26" s="67" t="s">
        <v>89</v>
      </c>
      <c r="B26" s="67"/>
      <c r="C26" s="67"/>
      <c r="D26" s="67"/>
      <c r="E26" s="67"/>
      <c r="F26" s="67"/>
      <c r="G26" s="67"/>
      <c r="H26" s="14">
        <v>46028</v>
      </c>
      <c r="I26" s="14">
        <v>46028</v>
      </c>
      <c r="J26" s="15">
        <v>0.1</v>
      </c>
      <c r="K26" s="16">
        <v>1</v>
      </c>
      <c r="L26" s="17"/>
    </row>
    <row r="27" spans="1:12" ht="21" x14ac:dyDescent="0.6">
      <c r="A27" s="67" t="s">
        <v>91</v>
      </c>
      <c r="B27" s="67"/>
      <c r="C27" s="67"/>
      <c r="D27" s="67"/>
      <c r="E27" s="67"/>
      <c r="F27" s="67"/>
      <c r="G27" s="67"/>
      <c r="H27" s="14">
        <v>46028</v>
      </c>
      <c r="I27" s="14">
        <v>46028</v>
      </c>
      <c r="J27" s="15">
        <v>0.1</v>
      </c>
      <c r="K27" s="16">
        <v>1</v>
      </c>
      <c r="L27" s="17"/>
    </row>
    <row r="28" spans="1:12" ht="21" x14ac:dyDescent="0.6">
      <c r="A28" s="67" t="s">
        <v>95</v>
      </c>
      <c r="B28" s="67"/>
      <c r="C28" s="67"/>
      <c r="D28" s="67"/>
      <c r="E28" s="67"/>
      <c r="F28" s="67"/>
      <c r="G28" s="67"/>
      <c r="H28" s="14">
        <v>46029</v>
      </c>
      <c r="I28" s="14">
        <v>46029</v>
      </c>
      <c r="J28" s="15">
        <v>0.1</v>
      </c>
      <c r="K28" s="16">
        <v>1</v>
      </c>
      <c r="L28" s="17"/>
    </row>
    <row r="29" spans="1:12" ht="21" x14ac:dyDescent="0.6">
      <c r="A29" s="67" t="s">
        <v>137</v>
      </c>
      <c r="B29" s="67"/>
      <c r="C29" s="67"/>
      <c r="D29" s="67"/>
      <c r="E29" s="67"/>
      <c r="F29" s="67"/>
      <c r="G29" s="67"/>
      <c r="H29" s="14">
        <v>46037</v>
      </c>
      <c r="I29" s="14">
        <v>46037</v>
      </c>
      <c r="J29" s="15">
        <v>0.1</v>
      </c>
      <c r="K29" s="16">
        <v>1</v>
      </c>
      <c r="L29" s="17"/>
    </row>
    <row r="30" spans="1:12" ht="20.399999999999999" x14ac:dyDescent="0.55000000000000004">
      <c r="A30" s="57" t="s">
        <v>45</v>
      </c>
      <c r="B30" s="58"/>
      <c r="C30" s="58"/>
      <c r="D30" s="58"/>
      <c r="E30" s="58"/>
      <c r="F30" s="58"/>
      <c r="G30" s="58"/>
      <c r="H30" s="69"/>
      <c r="I30" s="69"/>
      <c r="J30" s="58"/>
      <c r="K30" s="70"/>
      <c r="L30" s="59"/>
    </row>
    <row r="31" spans="1:12" s="41" customFormat="1" ht="24" customHeight="1" x14ac:dyDescent="0.25">
      <c r="A31" s="72" t="s">
        <v>113</v>
      </c>
      <c r="B31" s="73"/>
      <c r="C31" s="73"/>
      <c r="D31" s="73"/>
      <c r="E31" s="73"/>
      <c r="F31" s="73"/>
      <c r="G31" s="73"/>
      <c r="H31" s="14">
        <v>46028</v>
      </c>
      <c r="I31" s="14">
        <v>46028</v>
      </c>
      <c r="J31" s="38">
        <v>0.1</v>
      </c>
      <c r="K31" s="39">
        <v>1</v>
      </c>
      <c r="L31" s="40"/>
    </row>
    <row r="32" spans="1:12" ht="24" customHeight="1" x14ac:dyDescent="0.6">
      <c r="A32" s="72" t="s">
        <v>114</v>
      </c>
      <c r="B32" s="73"/>
      <c r="C32" s="73"/>
      <c r="D32" s="73"/>
      <c r="E32" s="73"/>
      <c r="F32" s="73"/>
      <c r="G32" s="73"/>
      <c r="H32" s="14">
        <v>46028</v>
      </c>
      <c r="I32" s="14">
        <v>46028</v>
      </c>
      <c r="J32" s="38">
        <v>0.1</v>
      </c>
      <c r="K32" s="39">
        <v>1</v>
      </c>
      <c r="L32" s="17"/>
    </row>
    <row r="33" spans="1:12" ht="24" customHeight="1" x14ac:dyDescent="0.6">
      <c r="A33" s="72" t="s">
        <v>136</v>
      </c>
      <c r="B33" s="73"/>
      <c r="C33" s="73"/>
      <c r="D33" s="73"/>
      <c r="E33" s="73"/>
      <c r="F33" s="73"/>
      <c r="G33" s="73"/>
      <c r="H33" s="14">
        <v>46037</v>
      </c>
      <c r="I33" s="14">
        <v>46037</v>
      </c>
      <c r="J33" s="38">
        <v>0.2</v>
      </c>
      <c r="K33" s="39">
        <v>1</v>
      </c>
      <c r="L33" s="17"/>
    </row>
    <row r="34" spans="1:12" ht="24" customHeight="1" x14ac:dyDescent="0.6">
      <c r="A34" s="72" t="s">
        <v>137</v>
      </c>
      <c r="B34" s="73"/>
      <c r="C34" s="73"/>
      <c r="D34" s="73"/>
      <c r="E34" s="73"/>
      <c r="F34" s="73"/>
      <c r="G34" s="73"/>
      <c r="H34" s="14">
        <v>46037</v>
      </c>
      <c r="I34" s="14">
        <v>46037</v>
      </c>
      <c r="J34" s="38">
        <v>0.2</v>
      </c>
      <c r="K34" s="39">
        <v>1</v>
      </c>
      <c r="L34" s="17"/>
    </row>
    <row r="35" spans="1:12" ht="24" customHeight="1" x14ac:dyDescent="0.6">
      <c r="A35" s="72" t="s">
        <v>149</v>
      </c>
      <c r="B35" s="73"/>
      <c r="C35" s="73"/>
      <c r="D35" s="73"/>
      <c r="E35" s="73"/>
      <c r="F35" s="73"/>
      <c r="G35" s="73"/>
      <c r="H35" s="14">
        <v>46042</v>
      </c>
      <c r="I35" s="14">
        <v>46042</v>
      </c>
      <c r="J35" s="38">
        <v>0.25</v>
      </c>
      <c r="K35" s="39">
        <v>1</v>
      </c>
      <c r="L35" s="17" t="s">
        <v>150</v>
      </c>
    </row>
    <row r="36" spans="1:12" ht="20.399999999999999" x14ac:dyDescent="0.55000000000000004">
      <c r="A36" s="57" t="s">
        <v>46</v>
      </c>
      <c r="B36" s="58"/>
      <c r="C36" s="58"/>
      <c r="D36" s="58"/>
      <c r="E36" s="58"/>
      <c r="F36" s="58"/>
      <c r="G36" s="58"/>
      <c r="H36" s="69"/>
      <c r="I36" s="69"/>
      <c r="J36" s="58"/>
      <c r="K36" s="70"/>
      <c r="L36" s="59"/>
    </row>
    <row r="37" spans="1:12" ht="21" x14ac:dyDescent="0.6">
      <c r="A37" s="67" t="s">
        <v>62</v>
      </c>
      <c r="B37" s="67"/>
      <c r="C37" s="67"/>
      <c r="D37" s="67"/>
      <c r="E37" s="67"/>
      <c r="F37" s="67"/>
      <c r="G37" s="67"/>
      <c r="H37" s="14"/>
      <c r="I37" s="14"/>
      <c r="J37" s="15"/>
      <c r="K37" s="16"/>
      <c r="L37" s="17"/>
    </row>
    <row r="38" spans="1:12" ht="21" x14ac:dyDescent="0.6">
      <c r="A38" s="67"/>
      <c r="B38" s="67"/>
      <c r="C38" s="67"/>
      <c r="D38" s="67"/>
      <c r="E38" s="67"/>
      <c r="F38" s="67"/>
      <c r="G38" s="67"/>
      <c r="H38" s="14"/>
      <c r="I38" s="14"/>
      <c r="J38" s="15"/>
      <c r="K38" s="16"/>
      <c r="L38" s="17"/>
    </row>
    <row r="39" spans="1:12" ht="21" x14ac:dyDescent="0.6">
      <c r="A39" s="71"/>
      <c r="B39" s="71"/>
      <c r="C39" s="71"/>
      <c r="D39" s="71"/>
      <c r="E39" s="71"/>
      <c r="F39" s="71"/>
      <c r="G39" s="71"/>
      <c r="H39" s="18"/>
      <c r="I39" s="18"/>
      <c r="J39" s="19">
        <f>SUM(J7:J38)</f>
        <v>6.6499999999999995</v>
      </c>
      <c r="K39" s="20">
        <f>AVERAGE(K7:K38)</f>
        <v>1</v>
      </c>
      <c r="L39" s="21"/>
    </row>
  </sheetData>
  <mergeCells count="38">
    <mergeCell ref="A35:G35"/>
    <mergeCell ref="A36:L36"/>
    <mergeCell ref="A37:G37"/>
    <mergeCell ref="A38:G38"/>
    <mergeCell ref="A39:G39"/>
    <mergeCell ref="A16:G16"/>
    <mergeCell ref="A25:L25"/>
    <mergeCell ref="A26:G26"/>
    <mergeCell ref="A30:L30"/>
    <mergeCell ref="A31:G31"/>
    <mergeCell ref="A32:G32"/>
    <mergeCell ref="A28:G28"/>
    <mergeCell ref="A33:G33"/>
    <mergeCell ref="A21:G21"/>
    <mergeCell ref="A34:G34"/>
    <mergeCell ref="A29:G29"/>
    <mergeCell ref="A23:G23"/>
    <mergeCell ref="A7:G7"/>
    <mergeCell ref="A1:G1"/>
    <mergeCell ref="B2:G2"/>
    <mergeCell ref="B3:G3"/>
    <mergeCell ref="A5:G5"/>
    <mergeCell ref="A6:L6"/>
    <mergeCell ref="A8:G8"/>
    <mergeCell ref="A9:G9"/>
    <mergeCell ref="A10:G10"/>
    <mergeCell ref="A11:G11"/>
    <mergeCell ref="A12:G12"/>
    <mergeCell ref="A13:G13"/>
    <mergeCell ref="A14:G14"/>
    <mergeCell ref="A15:G15"/>
    <mergeCell ref="A27:G27"/>
    <mergeCell ref="A17:G17"/>
    <mergeCell ref="A18:G18"/>
    <mergeCell ref="A19:G19"/>
    <mergeCell ref="A20:G20"/>
    <mergeCell ref="A22:G22"/>
    <mergeCell ref="A24:G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41A7-C961-4714-ACBD-52A6B9A6A8AF}">
  <sheetPr>
    <tabColor theme="8" tint="0.59999389629810485"/>
  </sheetPr>
  <dimension ref="A2:L34"/>
  <sheetViews>
    <sheetView workbookViewId="0">
      <selection activeCell="F7" sqref="F7"/>
    </sheetView>
  </sheetViews>
  <sheetFormatPr defaultRowHeight="13.8" x14ac:dyDescent="0.25"/>
  <cols>
    <col min="2" max="2" width="31.69921875" bestFit="1" customWidth="1"/>
    <col min="4" max="5" width="12.09765625" customWidth="1"/>
    <col min="6" max="6" width="8.796875" style="28"/>
    <col min="7" max="7" width="25.5" customWidth="1"/>
  </cols>
  <sheetData>
    <row r="2" spans="1:12" x14ac:dyDescent="0.25">
      <c r="A2" t="s">
        <v>50</v>
      </c>
    </row>
    <row r="3" spans="1:12" x14ac:dyDescent="0.25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12" x14ac:dyDescent="0.25">
      <c r="A4" s="24">
        <v>1</v>
      </c>
      <c r="B4" s="29" t="s">
        <v>48</v>
      </c>
      <c r="C4" s="6">
        <v>8</v>
      </c>
      <c r="D4" s="34">
        <v>45985</v>
      </c>
      <c r="E4" s="34">
        <v>45964</v>
      </c>
      <c r="F4" s="35">
        <v>1</v>
      </c>
      <c r="G4" s="5"/>
      <c r="H4" s="31"/>
      <c r="I4" s="32"/>
      <c r="J4" s="28"/>
      <c r="K4" s="27"/>
      <c r="L4" s="27"/>
    </row>
    <row r="5" spans="1:12" x14ac:dyDescent="0.25">
      <c r="A5" s="6">
        <v>2</v>
      </c>
      <c r="B5" s="5" t="s">
        <v>24</v>
      </c>
      <c r="C5" s="6">
        <v>10</v>
      </c>
      <c r="D5" s="34">
        <v>45995</v>
      </c>
      <c r="E5" s="34">
        <v>46010</v>
      </c>
      <c r="F5" s="35">
        <v>1</v>
      </c>
      <c r="G5" s="5"/>
      <c r="H5" s="28"/>
      <c r="J5" s="28"/>
      <c r="K5" s="27"/>
      <c r="L5" s="27"/>
    </row>
    <row r="6" spans="1:12" x14ac:dyDescent="0.25">
      <c r="A6" s="6">
        <v>3</v>
      </c>
      <c r="B6" s="5" t="s">
        <v>25</v>
      </c>
      <c r="C6" s="6">
        <v>1</v>
      </c>
      <c r="D6" s="34">
        <v>46010</v>
      </c>
      <c r="E6" s="34">
        <v>46010</v>
      </c>
      <c r="F6" s="35">
        <v>1</v>
      </c>
      <c r="G6" s="5"/>
      <c r="H6" s="28"/>
      <c r="J6" s="28"/>
      <c r="K6" s="27"/>
      <c r="L6" s="27"/>
    </row>
    <row r="7" spans="1:12" x14ac:dyDescent="0.25">
      <c r="A7" s="6">
        <v>4</v>
      </c>
      <c r="B7" s="5" t="s">
        <v>26</v>
      </c>
      <c r="C7" s="6">
        <v>36</v>
      </c>
      <c r="D7" s="34">
        <v>46013</v>
      </c>
      <c r="E7" s="34">
        <v>46066</v>
      </c>
      <c r="F7" s="35">
        <f>AVERAGE(F8:F10)</f>
        <v>0</v>
      </c>
      <c r="G7" s="5"/>
      <c r="H7" s="28"/>
      <c r="J7" s="28"/>
      <c r="K7" s="27"/>
      <c r="L7" s="27"/>
    </row>
    <row r="8" spans="1:12" x14ac:dyDescent="0.25">
      <c r="A8" s="6"/>
      <c r="B8" s="30" t="s">
        <v>32</v>
      </c>
      <c r="C8" s="6"/>
      <c r="D8" s="34"/>
      <c r="E8" s="34"/>
      <c r="F8" s="35">
        <v>0</v>
      </c>
      <c r="G8" s="5"/>
      <c r="H8" s="28"/>
      <c r="I8" s="33"/>
      <c r="J8" s="28"/>
      <c r="K8" s="27"/>
      <c r="L8" s="27"/>
    </row>
    <row r="9" spans="1:12" x14ac:dyDescent="0.25">
      <c r="A9" s="6"/>
      <c r="B9" s="30" t="s">
        <v>34</v>
      </c>
      <c r="C9" s="6"/>
      <c r="D9" s="34"/>
      <c r="E9" s="34"/>
      <c r="F9" s="35">
        <v>0</v>
      </c>
      <c r="G9" s="5"/>
      <c r="H9" s="28"/>
      <c r="I9" s="33"/>
      <c r="J9" s="28"/>
      <c r="K9" s="27"/>
      <c r="L9" s="27"/>
    </row>
    <row r="10" spans="1:12" x14ac:dyDescent="0.25">
      <c r="A10" s="6"/>
      <c r="B10" s="30" t="s">
        <v>33</v>
      </c>
      <c r="C10" s="6"/>
      <c r="D10" s="34"/>
      <c r="E10" s="34"/>
      <c r="F10" s="35">
        <v>0</v>
      </c>
      <c r="G10" s="5"/>
      <c r="H10" s="28"/>
      <c r="I10" s="33"/>
      <c r="J10" s="28"/>
      <c r="K10" s="27"/>
      <c r="L10" s="27"/>
    </row>
    <row r="11" spans="1:12" x14ac:dyDescent="0.25">
      <c r="A11" s="6">
        <v>5</v>
      </c>
      <c r="B11" s="5" t="s">
        <v>27</v>
      </c>
      <c r="C11" s="6">
        <v>5</v>
      </c>
      <c r="D11" s="34">
        <v>46069</v>
      </c>
      <c r="E11" s="34">
        <v>46073</v>
      </c>
      <c r="F11" s="35">
        <v>0</v>
      </c>
      <c r="G11" s="5"/>
      <c r="H11" s="28"/>
      <c r="J11" s="28"/>
      <c r="K11" s="27"/>
      <c r="L11" s="27"/>
    </row>
    <row r="12" spans="1:12" x14ac:dyDescent="0.25">
      <c r="A12" s="6">
        <v>6</v>
      </c>
      <c r="B12" s="5" t="s">
        <v>28</v>
      </c>
      <c r="C12" s="6">
        <v>5</v>
      </c>
      <c r="D12" s="34">
        <v>46076</v>
      </c>
      <c r="E12" s="34">
        <v>46080</v>
      </c>
      <c r="F12" s="35">
        <v>0</v>
      </c>
      <c r="G12" s="5"/>
      <c r="H12" s="28"/>
      <c r="J12" s="28"/>
      <c r="K12" s="27"/>
      <c r="L12" s="27"/>
    </row>
    <row r="13" spans="1:12" x14ac:dyDescent="0.25">
      <c r="A13" s="6">
        <v>7</v>
      </c>
      <c r="B13" s="5" t="s">
        <v>47</v>
      </c>
      <c r="C13" s="6">
        <v>2</v>
      </c>
      <c r="D13" s="34">
        <v>46083</v>
      </c>
      <c r="E13" s="34">
        <v>46084</v>
      </c>
      <c r="F13" s="35">
        <v>0</v>
      </c>
      <c r="G13" s="5"/>
      <c r="H13" s="28"/>
      <c r="J13" s="28"/>
      <c r="K13" s="27"/>
      <c r="L13" s="27"/>
    </row>
    <row r="14" spans="1:12" x14ac:dyDescent="0.25">
      <c r="A14" s="6">
        <v>8</v>
      </c>
      <c r="B14" s="5" t="s">
        <v>29</v>
      </c>
      <c r="C14" s="6"/>
      <c r="D14" s="34">
        <v>46086</v>
      </c>
      <c r="E14" s="34">
        <v>46086</v>
      </c>
      <c r="F14" s="35">
        <v>0</v>
      </c>
      <c r="G14" s="5"/>
      <c r="H14" s="28"/>
      <c r="J14" s="28"/>
      <c r="K14" s="27"/>
      <c r="L14" s="27"/>
    </row>
    <row r="15" spans="1:12" x14ac:dyDescent="0.25">
      <c r="A15" s="28"/>
      <c r="D15" s="27"/>
      <c r="E15" s="27"/>
      <c r="H15" s="28"/>
      <c r="J15" s="28"/>
      <c r="K15" s="27"/>
      <c r="L15" s="27"/>
    </row>
    <row r="16" spans="1:12" x14ac:dyDescent="0.25">
      <c r="H16" s="28"/>
      <c r="J16" s="28"/>
      <c r="K16" s="27"/>
      <c r="L16" s="27"/>
    </row>
    <row r="17" spans="1:12" x14ac:dyDescent="0.25">
      <c r="H17" s="28"/>
      <c r="J17" s="28"/>
      <c r="K17" s="27"/>
      <c r="L17" s="27"/>
    </row>
    <row r="18" spans="1:12" x14ac:dyDescent="0.25">
      <c r="H18" s="28"/>
      <c r="J18" s="28"/>
      <c r="K18" s="27"/>
      <c r="L18" s="27"/>
    </row>
    <row r="19" spans="1:12" x14ac:dyDescent="0.25">
      <c r="A19" s="28"/>
      <c r="D19" s="27"/>
      <c r="E19" s="27"/>
    </row>
    <row r="20" spans="1:12" x14ac:dyDescent="0.25">
      <c r="A20" s="28"/>
      <c r="D20" s="27"/>
      <c r="E20" s="27"/>
    </row>
    <row r="21" spans="1:12" x14ac:dyDescent="0.25">
      <c r="A21" s="28"/>
    </row>
    <row r="22" spans="1:12" x14ac:dyDescent="0.25">
      <c r="A22" s="28"/>
    </row>
    <row r="23" spans="1:12" x14ac:dyDescent="0.25">
      <c r="A23" s="28"/>
    </row>
    <row r="24" spans="1:12" x14ac:dyDescent="0.25">
      <c r="A24" s="28"/>
    </row>
    <row r="29" spans="1:12" x14ac:dyDescent="0.25">
      <c r="A29" s="28"/>
      <c r="D29" s="27"/>
      <c r="E29" s="27"/>
    </row>
    <row r="30" spans="1:12" x14ac:dyDescent="0.25">
      <c r="A30" s="28"/>
      <c r="D30" s="27"/>
      <c r="E30" s="27"/>
    </row>
    <row r="31" spans="1:12" x14ac:dyDescent="0.25">
      <c r="A31" s="28"/>
    </row>
    <row r="32" spans="1:12" x14ac:dyDescent="0.25">
      <c r="A32" s="28"/>
    </row>
    <row r="33" spans="1:1" x14ac:dyDescent="0.25">
      <c r="A33" s="28"/>
    </row>
    <row r="34" spans="1:1" x14ac:dyDescent="0.25">
      <c r="A34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FB44-6C51-43C5-BD88-41FB16328B4C}">
  <sheetPr>
    <tabColor theme="8" tint="0.59999389629810485"/>
  </sheetPr>
  <dimension ref="A1:L17"/>
  <sheetViews>
    <sheetView workbookViewId="0">
      <selection activeCell="J7" sqref="J7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32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8" t="s">
        <v>38</v>
      </c>
      <c r="B5" s="68"/>
      <c r="C5" s="68"/>
      <c r="D5" s="68"/>
      <c r="E5" s="68"/>
      <c r="F5" s="68"/>
      <c r="G5" s="68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67"/>
      <c r="B7" s="67"/>
      <c r="C7" s="67"/>
      <c r="D7" s="67"/>
      <c r="E7" s="67"/>
      <c r="F7" s="67"/>
      <c r="G7" s="67"/>
      <c r="H7" s="14"/>
      <c r="I7" s="14"/>
      <c r="J7" s="15">
        <v>1</v>
      </c>
      <c r="K7" s="16"/>
      <c r="L7" s="17"/>
    </row>
    <row r="8" spans="1:12" ht="21" x14ac:dyDescent="0.6">
      <c r="A8" s="67"/>
      <c r="B8" s="67"/>
      <c r="C8" s="67"/>
      <c r="D8" s="67"/>
      <c r="E8" s="67"/>
      <c r="F8" s="67"/>
      <c r="G8" s="67"/>
      <c r="H8" s="14"/>
      <c r="I8" s="14"/>
      <c r="J8" s="15"/>
      <c r="K8" s="16"/>
      <c r="L8" s="17"/>
    </row>
    <row r="9" spans="1:12" ht="20.399999999999999" x14ac:dyDescent="0.55000000000000004">
      <c r="A9" s="57" t="s">
        <v>44</v>
      </c>
      <c r="B9" s="58"/>
      <c r="C9" s="58"/>
      <c r="D9" s="58"/>
      <c r="E9" s="58"/>
      <c r="F9" s="58"/>
      <c r="G9" s="58"/>
      <c r="H9" s="69"/>
      <c r="I9" s="69"/>
      <c r="J9" s="58"/>
      <c r="K9" s="70"/>
      <c r="L9" s="59"/>
    </row>
    <row r="10" spans="1:12" ht="21" x14ac:dyDescent="0.6">
      <c r="A10" s="67"/>
      <c r="B10" s="67"/>
      <c r="C10" s="67"/>
      <c r="D10" s="67"/>
      <c r="E10" s="67"/>
      <c r="F10" s="67"/>
      <c r="G10" s="67"/>
      <c r="H10" s="14"/>
      <c r="I10" s="14"/>
      <c r="J10" s="15"/>
      <c r="K10" s="16"/>
      <c r="L10" s="17"/>
    </row>
    <row r="11" spans="1:12" ht="20.399999999999999" x14ac:dyDescent="0.55000000000000004">
      <c r="A11" s="57" t="s">
        <v>45</v>
      </c>
      <c r="B11" s="58"/>
      <c r="C11" s="58"/>
      <c r="D11" s="58"/>
      <c r="E11" s="58"/>
      <c r="F11" s="58"/>
      <c r="G11" s="58"/>
      <c r="H11" s="69"/>
      <c r="I11" s="69"/>
      <c r="J11" s="58"/>
      <c r="K11" s="70"/>
      <c r="L11" s="59"/>
    </row>
    <row r="12" spans="1:12" ht="21" x14ac:dyDescent="0.6">
      <c r="A12" s="67"/>
      <c r="B12" s="67"/>
      <c r="C12" s="67"/>
      <c r="D12" s="67"/>
      <c r="E12" s="67"/>
      <c r="F12" s="67"/>
      <c r="G12" s="67"/>
      <c r="H12" s="14"/>
      <c r="I12" s="14"/>
      <c r="J12" s="15"/>
      <c r="K12" s="16"/>
      <c r="L12" s="17"/>
    </row>
    <row r="13" spans="1:12" ht="21" x14ac:dyDescent="0.6">
      <c r="A13" s="67"/>
      <c r="B13" s="67"/>
      <c r="C13" s="67"/>
      <c r="D13" s="67"/>
      <c r="E13" s="67"/>
      <c r="F13" s="67"/>
      <c r="G13" s="67"/>
      <c r="H13" s="14"/>
      <c r="I13" s="14"/>
      <c r="J13" s="15"/>
      <c r="K13" s="16"/>
      <c r="L13" s="17"/>
    </row>
    <row r="14" spans="1:12" ht="20.399999999999999" x14ac:dyDescent="0.55000000000000004">
      <c r="A14" s="57" t="s">
        <v>46</v>
      </c>
      <c r="B14" s="58"/>
      <c r="C14" s="58"/>
      <c r="D14" s="58"/>
      <c r="E14" s="58"/>
      <c r="F14" s="58"/>
      <c r="G14" s="58"/>
      <c r="H14" s="69"/>
      <c r="I14" s="69"/>
      <c r="J14" s="58"/>
      <c r="K14" s="70"/>
      <c r="L14" s="59"/>
    </row>
    <row r="15" spans="1:12" ht="21" x14ac:dyDescent="0.6">
      <c r="A15" s="67"/>
      <c r="B15" s="67"/>
      <c r="C15" s="67"/>
      <c r="D15" s="67"/>
      <c r="E15" s="67"/>
      <c r="F15" s="67"/>
      <c r="G15" s="67"/>
      <c r="H15" s="14"/>
      <c r="I15" s="14"/>
      <c r="J15" s="15"/>
      <c r="K15" s="16"/>
      <c r="L15" s="17"/>
    </row>
    <row r="16" spans="1:12" ht="21" x14ac:dyDescent="0.6">
      <c r="A16" s="67"/>
      <c r="B16" s="67"/>
      <c r="C16" s="67"/>
      <c r="D16" s="67"/>
      <c r="E16" s="67"/>
      <c r="F16" s="67"/>
      <c r="G16" s="67"/>
      <c r="H16" s="14"/>
      <c r="I16" s="14"/>
      <c r="J16" s="15"/>
      <c r="K16" s="16"/>
      <c r="L16" s="17"/>
    </row>
    <row r="17" spans="1:12" ht="21" x14ac:dyDescent="0.6">
      <c r="A17" s="71"/>
      <c r="B17" s="71"/>
      <c r="C17" s="71"/>
      <c r="D17" s="71"/>
      <c r="E17" s="71"/>
      <c r="F17" s="71"/>
      <c r="G17" s="71"/>
      <c r="H17" s="18"/>
      <c r="I17" s="18"/>
      <c r="J17" s="19">
        <f>SUM(J7:J16)</f>
        <v>1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E744-758E-4815-88AD-7AFA77A29021}">
  <sheetPr>
    <tabColor theme="8" tint="0.59999389629810485"/>
  </sheetPr>
  <dimension ref="A1:L17"/>
  <sheetViews>
    <sheetView workbookViewId="0">
      <selection activeCell="O10" sqref="O10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34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8" t="s">
        <v>38</v>
      </c>
      <c r="B5" s="68"/>
      <c r="C5" s="68"/>
      <c r="D5" s="68"/>
      <c r="E5" s="68"/>
      <c r="F5" s="68"/>
      <c r="G5" s="68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67"/>
      <c r="B7" s="67"/>
      <c r="C7" s="67"/>
      <c r="D7" s="67"/>
      <c r="E7" s="67"/>
      <c r="F7" s="67"/>
      <c r="G7" s="67"/>
      <c r="H7" s="14"/>
      <c r="I7" s="14"/>
      <c r="J7" s="15"/>
      <c r="K7" s="16"/>
      <c r="L7" s="17"/>
    </row>
    <row r="8" spans="1:12" ht="21" x14ac:dyDescent="0.6">
      <c r="A8" s="67"/>
      <c r="B8" s="67"/>
      <c r="C8" s="67"/>
      <c r="D8" s="67"/>
      <c r="E8" s="67"/>
      <c r="F8" s="67"/>
      <c r="G8" s="67"/>
      <c r="H8" s="14"/>
      <c r="I8" s="14"/>
      <c r="J8" s="15"/>
      <c r="K8" s="16"/>
      <c r="L8" s="17"/>
    </row>
    <row r="9" spans="1:12" ht="20.399999999999999" x14ac:dyDescent="0.55000000000000004">
      <c r="A9" s="57" t="s">
        <v>44</v>
      </c>
      <c r="B9" s="58"/>
      <c r="C9" s="58"/>
      <c r="D9" s="58"/>
      <c r="E9" s="58"/>
      <c r="F9" s="58"/>
      <c r="G9" s="58"/>
      <c r="H9" s="69"/>
      <c r="I9" s="69"/>
      <c r="J9" s="58"/>
      <c r="K9" s="70"/>
      <c r="L9" s="59"/>
    </row>
    <row r="10" spans="1:12" ht="21" x14ac:dyDescent="0.6">
      <c r="A10" s="67"/>
      <c r="B10" s="67"/>
      <c r="C10" s="67"/>
      <c r="D10" s="67"/>
      <c r="E10" s="67"/>
      <c r="F10" s="67"/>
      <c r="G10" s="67"/>
      <c r="H10" s="14"/>
      <c r="I10" s="14"/>
      <c r="J10" s="15"/>
      <c r="K10" s="16"/>
      <c r="L10" s="17"/>
    </row>
    <row r="11" spans="1:12" ht="20.399999999999999" x14ac:dyDescent="0.55000000000000004">
      <c r="A11" s="57" t="s">
        <v>45</v>
      </c>
      <c r="B11" s="58"/>
      <c r="C11" s="58"/>
      <c r="D11" s="58"/>
      <c r="E11" s="58"/>
      <c r="F11" s="58"/>
      <c r="G11" s="58"/>
      <c r="H11" s="69"/>
      <c r="I11" s="69"/>
      <c r="J11" s="58"/>
      <c r="K11" s="70"/>
      <c r="L11" s="59"/>
    </row>
    <row r="12" spans="1:12" ht="21" x14ac:dyDescent="0.6">
      <c r="A12" s="67"/>
      <c r="B12" s="67"/>
      <c r="C12" s="67"/>
      <c r="D12" s="67"/>
      <c r="E12" s="67"/>
      <c r="F12" s="67"/>
      <c r="G12" s="67"/>
      <c r="H12" s="14"/>
      <c r="I12" s="14"/>
      <c r="J12" s="15"/>
      <c r="K12" s="16"/>
      <c r="L12" s="17"/>
    </row>
    <row r="13" spans="1:12" ht="21" x14ac:dyDescent="0.6">
      <c r="A13" s="67"/>
      <c r="B13" s="67"/>
      <c r="C13" s="67"/>
      <c r="D13" s="67"/>
      <c r="E13" s="67"/>
      <c r="F13" s="67"/>
      <c r="G13" s="67"/>
      <c r="H13" s="14"/>
      <c r="I13" s="14"/>
      <c r="J13" s="15"/>
      <c r="K13" s="16"/>
      <c r="L13" s="17"/>
    </row>
    <row r="14" spans="1:12" ht="20.399999999999999" x14ac:dyDescent="0.55000000000000004">
      <c r="A14" s="57" t="s">
        <v>46</v>
      </c>
      <c r="B14" s="58"/>
      <c r="C14" s="58"/>
      <c r="D14" s="58"/>
      <c r="E14" s="58"/>
      <c r="F14" s="58"/>
      <c r="G14" s="58"/>
      <c r="H14" s="69"/>
      <c r="I14" s="69"/>
      <c r="J14" s="58"/>
      <c r="K14" s="70"/>
      <c r="L14" s="59"/>
    </row>
    <row r="15" spans="1:12" ht="21" x14ac:dyDescent="0.6">
      <c r="A15" s="67"/>
      <c r="B15" s="67"/>
      <c r="C15" s="67"/>
      <c r="D15" s="67"/>
      <c r="E15" s="67"/>
      <c r="F15" s="67"/>
      <c r="G15" s="67"/>
      <c r="H15" s="14"/>
      <c r="I15" s="14"/>
      <c r="J15" s="15"/>
      <c r="K15" s="16"/>
      <c r="L15" s="17"/>
    </row>
    <row r="16" spans="1:12" ht="21" x14ac:dyDescent="0.6">
      <c r="A16" s="67"/>
      <c r="B16" s="67"/>
      <c r="C16" s="67"/>
      <c r="D16" s="67"/>
      <c r="E16" s="67"/>
      <c r="F16" s="67"/>
      <c r="G16" s="67"/>
      <c r="H16" s="14"/>
      <c r="I16" s="14"/>
      <c r="J16" s="15"/>
      <c r="K16" s="16"/>
      <c r="L16" s="17"/>
    </row>
    <row r="17" spans="1:12" ht="21" x14ac:dyDescent="0.6">
      <c r="A17" s="71"/>
      <c r="B17" s="71"/>
      <c r="C17" s="71"/>
      <c r="D17" s="71"/>
      <c r="E17" s="71"/>
      <c r="F17" s="71"/>
      <c r="G17" s="71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420A-6D1A-4206-B07A-4AE720272C8D}">
  <sheetPr>
    <tabColor theme="8" tint="0.59999389629810485"/>
  </sheetPr>
  <dimension ref="A1:L17"/>
  <sheetViews>
    <sheetView workbookViewId="0">
      <selection activeCell="J21" sqref="J21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45" t="s">
        <v>35</v>
      </c>
      <c r="B1" s="46"/>
      <c r="C1" s="46"/>
      <c r="D1" s="46"/>
      <c r="E1" s="46"/>
      <c r="F1" s="46"/>
      <c r="G1" s="47"/>
      <c r="H1" s="7"/>
      <c r="I1" s="8"/>
      <c r="K1" s="10"/>
    </row>
    <row r="2" spans="1:12" ht="20.399999999999999" x14ac:dyDescent="0.55000000000000004">
      <c r="A2" s="11" t="s">
        <v>36</v>
      </c>
      <c r="B2" s="48" t="s">
        <v>33</v>
      </c>
      <c r="C2" s="49"/>
      <c r="D2" s="49"/>
      <c r="E2" s="49"/>
      <c r="F2" s="49"/>
      <c r="G2" s="50"/>
      <c r="H2" s="7"/>
      <c r="I2" s="8"/>
      <c r="K2" s="10"/>
    </row>
    <row r="3" spans="1:12" ht="20.399999999999999" x14ac:dyDescent="0.55000000000000004">
      <c r="A3" s="11" t="s">
        <v>37</v>
      </c>
      <c r="B3" s="51">
        <v>1</v>
      </c>
      <c r="C3" s="52"/>
      <c r="D3" s="52"/>
      <c r="E3" s="52"/>
      <c r="F3" s="52"/>
      <c r="G3" s="53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8" t="s">
        <v>38</v>
      </c>
      <c r="B5" s="68"/>
      <c r="C5" s="68"/>
      <c r="D5" s="68"/>
      <c r="E5" s="68"/>
      <c r="F5" s="68"/>
      <c r="G5" s="68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7" t="s">
        <v>43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</row>
    <row r="7" spans="1:12" ht="21" x14ac:dyDescent="0.6">
      <c r="A7" s="67"/>
      <c r="B7" s="67"/>
      <c r="C7" s="67"/>
      <c r="D7" s="67"/>
      <c r="E7" s="67"/>
      <c r="F7" s="67"/>
      <c r="G7" s="67"/>
      <c r="H7" s="14"/>
      <c r="I7" s="14"/>
      <c r="J7" s="15"/>
      <c r="K7" s="16"/>
      <c r="L7" s="17"/>
    </row>
    <row r="8" spans="1:12" ht="21" x14ac:dyDescent="0.6">
      <c r="A8" s="67"/>
      <c r="B8" s="67"/>
      <c r="C8" s="67"/>
      <c r="D8" s="67"/>
      <c r="E8" s="67"/>
      <c r="F8" s="67"/>
      <c r="G8" s="67"/>
      <c r="H8" s="14"/>
      <c r="I8" s="14"/>
      <c r="J8" s="15"/>
      <c r="K8" s="16"/>
      <c r="L8" s="17"/>
    </row>
    <row r="9" spans="1:12" ht="20.399999999999999" x14ac:dyDescent="0.55000000000000004">
      <c r="A9" s="57" t="s">
        <v>44</v>
      </c>
      <c r="B9" s="58"/>
      <c r="C9" s="58"/>
      <c r="D9" s="58"/>
      <c r="E9" s="58"/>
      <c r="F9" s="58"/>
      <c r="G9" s="58"/>
      <c r="H9" s="69"/>
      <c r="I9" s="69"/>
      <c r="J9" s="58"/>
      <c r="K9" s="70"/>
      <c r="L9" s="59"/>
    </row>
    <row r="10" spans="1:12" ht="21" x14ac:dyDescent="0.6">
      <c r="A10" s="67"/>
      <c r="B10" s="67"/>
      <c r="C10" s="67"/>
      <c r="D10" s="67"/>
      <c r="E10" s="67"/>
      <c r="F10" s="67"/>
      <c r="G10" s="67"/>
      <c r="H10" s="14"/>
      <c r="I10" s="14"/>
      <c r="J10" s="15"/>
      <c r="K10" s="16"/>
      <c r="L10" s="17"/>
    </row>
    <row r="11" spans="1:12" ht="20.399999999999999" x14ac:dyDescent="0.55000000000000004">
      <c r="A11" s="57" t="s">
        <v>45</v>
      </c>
      <c r="B11" s="58"/>
      <c r="C11" s="58"/>
      <c r="D11" s="58"/>
      <c r="E11" s="58"/>
      <c r="F11" s="58"/>
      <c r="G11" s="58"/>
      <c r="H11" s="69"/>
      <c r="I11" s="69"/>
      <c r="J11" s="58"/>
      <c r="K11" s="70"/>
      <c r="L11" s="59"/>
    </row>
    <row r="12" spans="1:12" ht="21" x14ac:dyDescent="0.6">
      <c r="A12" s="67"/>
      <c r="B12" s="67"/>
      <c r="C12" s="67"/>
      <c r="D12" s="67"/>
      <c r="E12" s="67"/>
      <c r="F12" s="67"/>
      <c r="G12" s="67"/>
      <c r="H12" s="14"/>
      <c r="I12" s="14"/>
      <c r="J12" s="15"/>
      <c r="K12" s="16"/>
      <c r="L12" s="17"/>
    </row>
    <row r="13" spans="1:12" ht="21" x14ac:dyDescent="0.6">
      <c r="A13" s="67"/>
      <c r="B13" s="67"/>
      <c r="C13" s="67"/>
      <c r="D13" s="67"/>
      <c r="E13" s="67"/>
      <c r="F13" s="67"/>
      <c r="G13" s="67"/>
      <c r="H13" s="14"/>
      <c r="I13" s="14"/>
      <c r="J13" s="15"/>
      <c r="K13" s="16"/>
      <c r="L13" s="17"/>
    </row>
    <row r="14" spans="1:12" ht="20.399999999999999" x14ac:dyDescent="0.55000000000000004">
      <c r="A14" s="57" t="s">
        <v>46</v>
      </c>
      <c r="B14" s="58"/>
      <c r="C14" s="58"/>
      <c r="D14" s="58"/>
      <c r="E14" s="58"/>
      <c r="F14" s="58"/>
      <c r="G14" s="58"/>
      <c r="H14" s="69"/>
      <c r="I14" s="69"/>
      <c r="J14" s="58"/>
      <c r="K14" s="70"/>
      <c r="L14" s="59"/>
    </row>
    <row r="15" spans="1:12" ht="21" x14ac:dyDescent="0.6">
      <c r="A15" s="67"/>
      <c r="B15" s="67"/>
      <c r="C15" s="67"/>
      <c r="D15" s="67"/>
      <c r="E15" s="67"/>
      <c r="F15" s="67"/>
      <c r="G15" s="67"/>
      <c r="H15" s="14"/>
      <c r="I15" s="14"/>
      <c r="J15" s="15"/>
      <c r="K15" s="16"/>
      <c r="L15" s="17"/>
    </row>
    <row r="16" spans="1:12" ht="21" x14ac:dyDescent="0.6">
      <c r="A16" s="67"/>
      <c r="B16" s="67"/>
      <c r="C16" s="67"/>
      <c r="D16" s="67"/>
      <c r="E16" s="67"/>
      <c r="F16" s="67"/>
      <c r="G16" s="67"/>
      <c r="H16" s="14"/>
      <c r="I16" s="14"/>
      <c r="J16" s="15"/>
      <c r="K16" s="16"/>
      <c r="L16" s="17"/>
    </row>
    <row r="17" spans="1:12" ht="21" x14ac:dyDescent="0.6">
      <c r="A17" s="71"/>
      <c r="B17" s="71"/>
      <c r="C17" s="71"/>
      <c r="D17" s="71"/>
      <c r="E17" s="71"/>
      <c r="F17" s="71"/>
      <c r="G17" s="71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  <mergeCell ref="A7:G7"/>
    <mergeCell ref="A1:G1"/>
    <mergeCell ref="B2:G2"/>
    <mergeCell ref="B3:G3"/>
    <mergeCell ref="A5:G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ใบไม้</vt:lpstr>
      <vt:lpstr>2_SKIB</vt:lpstr>
      <vt:lpstr>5_MKT</vt:lpstr>
      <vt:lpstr>6_MKT</vt:lpstr>
      <vt:lpstr>ปริ้น</vt:lpstr>
      <vt:lpstr>3_DEBT</vt:lpstr>
      <vt:lpstr>4_LEGAL</vt:lpstr>
      <vt:lpstr>9_CS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Pissopa Sittirattanarungsi</dc:creator>
  <cp:lastModifiedBy>Pawarit Thaothong</cp:lastModifiedBy>
  <dcterms:created xsi:type="dcterms:W3CDTF">2025-12-03T09:24:40Z</dcterms:created>
  <dcterms:modified xsi:type="dcterms:W3CDTF">2026-02-05T10:22:51Z</dcterms:modified>
</cp:coreProperties>
</file>